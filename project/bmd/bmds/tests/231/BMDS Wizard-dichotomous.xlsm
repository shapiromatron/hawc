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12.xml" ContentType="application/vnd.ms-excel.controlproperties+xml"/>
  <Override PartName="/xl/drawings/drawing3.xml" ContentType="application/vnd.openxmlformats-officedocument.drawing+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omments2.xml" ContentType="application/vnd.openxmlformats-officedocument.spreadsheetml.comments+xml"/>
  <Override PartName="/xl/drawings/drawing4.xml" ContentType="application/vnd.openxmlformats-officedocument.drawing+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omments3.xml" ContentType="application/vnd.openxmlformats-officedocument.spreadsheetml.comments+xml"/>
  <Override PartName="/xl/drawings/drawing5.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15" yWindow="5565" windowWidth="15600" windowHeight="1395" tabRatio="642"/>
  </bookViews>
  <sheets>
    <sheet name="Main" sheetId="5" r:id="rId1"/>
    <sheet name="Data" sheetId="6" r:id="rId2"/>
    <sheet name="Results" sheetId="12" r:id="rId3"/>
    <sheet name="Logic" sheetId="16" r:id="rId4"/>
    <sheet name="Report" sheetId="15" r:id="rId5"/>
    <sheet name="Options" sheetId="7" state="hidden" r:id="rId6"/>
    <sheet name="Model Options" sheetId="17" state="hidden" r:id="rId7"/>
    <sheet name="BuildModel" sheetId="11" state="hidden" r:id="rId8"/>
    <sheet name="Define Bounds" sheetId="14" state="hidden" r:id="rId9"/>
    <sheet name="Output" sheetId="18" state="hidden" r:id="rId10"/>
  </sheets>
  <functionGroups builtInGroupCount="17"/>
  <definedNames>
    <definedName name="_xlnm._FilterDatabase" localSheetId="8" hidden="1">'Define Bounds'!$B$8:$D$52</definedName>
    <definedName name="_xlnm._FilterDatabase" localSheetId="3" hidden="1">Logic!$B$13:$H$35</definedName>
    <definedName name="_xlnm._FilterDatabase" localSheetId="5" hidden="1">Options!$I$8:$J$150</definedName>
    <definedName name="_xlnm._FilterDatabase" localSheetId="2" hidden="1">Results!$B$8:$AF$8</definedName>
    <definedName name="AutoBMDSEXE">Options!$C$13</definedName>
    <definedName name="Autorun_InputFile">Options!$C$14</definedName>
    <definedName name="AutorunBMDSTimeout">Options!$C$16</definedName>
    <definedName name="BMD_ID">Main!$C$13</definedName>
    <definedName name="BMDorBMC">Main!$C$17</definedName>
    <definedName name="BMDS_EMF_Scale">Options!$C$9</definedName>
    <definedName name="BMDS_MaxChar">Options!$M$19</definedName>
    <definedName name="BMDS_SpacesAllowed">Options!$M$18</definedName>
    <definedName name="BMDSdir">Options!$M$15</definedName>
    <definedName name="BMDSexe">Options!$M$16</definedName>
    <definedName name="BMDSversion">Main!$C$11</definedName>
    <definedName name="BMDSwindow">Options!$M$17</definedName>
    <definedName name="BMDSWordSpace">Options!$M$20</definedName>
    <definedName name="CTV_db">Main!$I$11</definedName>
    <definedName name="CurrentColumn">BuildModel!$C$7</definedName>
    <definedName name="Data_ColumnNames">Data!$C$15:$G$15</definedName>
    <definedName name="Data_DataType">Data!$C$16:$G$16</definedName>
    <definedName name="Data_DoseRange">Data!$L$9</definedName>
    <definedName name="Data_DoseUnits">Main!$C$16</definedName>
    <definedName name="Data_DRTrend">Data!$C$10</definedName>
    <definedName name="Data_NumDG">Data!$C$9</definedName>
    <definedName name="Data_ResponseColumn">Data!$L$10</definedName>
    <definedName name="Data_ResponseDec">Data!$L$12</definedName>
    <definedName name="Data_ResponseInc">Data!$L$11</definedName>
    <definedName name="Debug">Options!$C$25</definedName>
    <definedName name="DR_id">Main!$I$12</definedName>
    <definedName name="EmbedBMDSOutput">Options!$C$15</definedName>
    <definedName name="Endpoint">Main!$C$15</definedName>
    <definedName name="ExpSearchString">Options!$C$11</definedName>
    <definedName name="FullModelOptionList_ColNames">'Model Options'!$B$15:$H$15</definedName>
    <definedName name="Logic_BMDLSufficientlyClose">Logic!$E$11</definedName>
    <definedName name="Logic_RecommendQuestionable">Logic!$E$10</definedName>
    <definedName name="Logic_RecommendViable">Logic!$E$9</definedName>
    <definedName name="ModelOptionFile_ColList">'Model Options'!$J$8:$J$149</definedName>
    <definedName name="ModelType">Main!$C$18</definedName>
    <definedName name="Opt_FormulaBar_Change">Options!$C$23</definedName>
    <definedName name="Opt_FormulaBar_Height">Options!$C$24</definedName>
    <definedName name="ParamBound_FailNotes">'Define Bounds'!$H$13</definedName>
    <definedName name="ParamBound_Model">'Define Bounds'!$H$9</definedName>
    <definedName name="ParamBound_PassFail">'Define Bounds'!$H$14</definedName>
    <definedName name="ParamBound_Rest">'Define Bounds'!$H$12</definedName>
    <definedName name="ParamBound_Val">'Define Bounds'!$H$11</definedName>
    <definedName name="ParamBound_Var">'Define Bounds'!$H$10</definedName>
    <definedName name="PrintWRD_DRAGON">Options!$C$21</definedName>
    <definedName name="PrintWRD_DRAGON_FN">Options!$C$22</definedName>
    <definedName name="PrintWRD_FigH">Report!$C$27</definedName>
    <definedName name="PrintWRD_FigW">Report!$C$26</definedName>
    <definedName name="PrintWrd_ModelSelectionNotes">Results!$AC$2</definedName>
    <definedName name="PrintWRD_OutDir">Report!$C$21</definedName>
    <definedName name="PrintWRD_OutExt">Report!$C$23</definedName>
    <definedName name="PrintWRD_OutFN">Report!$C$22</definedName>
    <definedName name="PrintWRD_PrintAllFigs">Report!$C$14</definedName>
    <definedName name="PrintWRD_PrintAllOUT">Report!$D$14</definedName>
    <definedName name="PrintWRD_PrintSelectedFigs">Report!$C$13</definedName>
    <definedName name="PrintWRD_PrintSelectedOUT">Report!$D$13</definedName>
    <definedName name="PrintWRD_PrintSummaryTable">Report!$C$9</definedName>
    <definedName name="PrintWRD_ShowReportBeingCreated">Report!$C$10</definedName>
    <definedName name="PrintWRD_TemplateDir">Report!$C$17</definedName>
    <definedName name="PrintWRD_TemplateFN">Report!$C$18</definedName>
    <definedName name="PullDown_List">INDIRECT(PullDown_ListRange)</definedName>
    <definedName name="PullDown_ListRange">'Model Options'!$C$10</definedName>
    <definedName name="PullDown_ModelName">'Model Options'!$C$12</definedName>
    <definedName name="PullDown_ModelNum">'Model Options'!$C$11</definedName>
    <definedName name="R_ModelOptionHeader">'Model Options'!$J$8:$AU$8</definedName>
    <definedName name="R_Results_Header">Results!$B$8:$AF$8</definedName>
    <definedName name="RenameExpFiles">Options!$C$10</definedName>
    <definedName name="Results_SmartHide">Options!$C$18</definedName>
    <definedName name="Results_SmartHideVarModel">Options!$C$19</definedName>
    <definedName name="SessionFileDir">Main!$C$12</definedName>
    <definedName name="ShowSplashScreen">Options!$C$12</definedName>
    <definedName name="SmartStudyEndpointName">Options!$M$22</definedName>
    <definedName name="StudyYear">Main!$C$14</definedName>
    <definedName name="Summary_BMRName">Options!$F$19</definedName>
    <definedName name="Summary_BMRShorthand">Options!$F$18</definedName>
    <definedName name="Summary_SortBMDL">Options!$C$17</definedName>
    <definedName name="Summary_ThisBMR">Options!$F$16</definedName>
    <definedName name="Summary_ThisBMRF">Options!$F$17</definedName>
    <definedName name="Tbl_BMDSSummary">Report!#REF!</definedName>
    <definedName name="Tbl_BMDSversion">Options!$L$8:$R$13</definedName>
    <definedName name="Tbl_BMRFN">Options!$E$8:$G$14</definedName>
    <definedName name="Tbl_DataInputNames">Data!$C$15:$G$16</definedName>
    <definedName name="Tbl_Doses">Data!$C$16:$G$41</definedName>
    <definedName name="Tbl_FullModelOptionList">'Model Options'!$B$15:$H$52</definedName>
    <definedName name="Tbl_InputSummary">Report!#REF!</definedName>
    <definedName name="Tbl_ModelForm">Options!$AN$8:$AO$32</definedName>
    <definedName name="Tbl_ModelOptionFiles">'Model Options'!$J$8:$AU$149</definedName>
    <definedName name="Tbl_Output">Output!$B$7:$D$17</definedName>
    <definedName name="Tbl_ParameterBounds">'Define Bounds'!$B$8:$E$55</definedName>
    <definedName name="Tbl_Results">Results!$B$9:$AF$18</definedName>
    <definedName name="Tbl_Results_Name">Results!$B$7</definedName>
    <definedName name="Tbl_VisibleOrHidden">Options!$I$8:$J$150</definedName>
    <definedName name="TblMoveSelectedToTop">Options!$C$20</definedName>
    <definedName name="UserNotes">Data!$C$11</definedName>
    <definedName name="Valid_AdvDir">Options!$Z$9:$Z$11</definedName>
    <definedName name="Valid_AutoBMDSEXE">Options!$AD$9:$AD$10</definedName>
    <definedName name="Valid_BinType">Options!$AA$9:$AA$11</definedName>
    <definedName name="Valid_BMDSversion">Options!$L$9:$L$13</definedName>
    <definedName name="Valid_BMRtype">Options!$V$9:$V$13</definedName>
    <definedName name="Valid_Boolean">Options!$AK$9:$AK$10</definedName>
    <definedName name="Valid_DataCol">Options!$U$9:$U$14</definedName>
    <definedName name="Valid_Distribution">Options!$AE$9:$AE$10</definedName>
    <definedName name="Valid_FixedLitterSize">Options!$AI$9:$AI$10</definedName>
    <definedName name="Valid_IntralitterCorrel">Options!$AH$9:$AH$10</definedName>
    <definedName name="Valid_LitterSpecCovar">Options!$AG$9:$AG$10</definedName>
    <definedName name="Valid_ModelSelection">Options!$AB$9:$AB$11</definedName>
    <definedName name="Valid_ModelType">Options!$X$9:$X$11</definedName>
    <definedName name="Valid_Restriction">Options!$Y$9:$Y$11</definedName>
    <definedName name="Valid_RiskType">Options!$AF$9:$AF$10</definedName>
    <definedName name="Valid_TestOn">Options!$AJ$9:$AJ$10</definedName>
    <definedName name="Valid_TextBasis">Options!$W$9:$W$11</definedName>
    <definedName name="Valid_UserOverrides">Options!$T$9:$T$14</definedName>
    <definedName name="Valid_VisibleHidden">Options!$AL$9:$AL$10</definedName>
    <definedName name="Valid_WrdExt">Options!$AC$9:$AC$11</definedName>
  </definedNames>
  <calcPr calcId="145621"/>
</workbook>
</file>

<file path=xl/calcChain.xml><?xml version="1.0" encoding="utf-8"?>
<calcChain xmlns="http://schemas.openxmlformats.org/spreadsheetml/2006/main">
  <c r="H14" i="14" l="1"/>
  <c r="M39" i="5" l="1"/>
  <c r="M47" i="5"/>
  <c r="M43" i="5"/>
  <c r="M42" i="5"/>
  <c r="M40" i="5"/>
  <c r="L47" i="5"/>
  <c r="L43" i="5"/>
  <c r="L42" i="5"/>
  <c r="L40" i="5"/>
  <c r="L39" i="5"/>
  <c r="L37" i="5"/>
  <c r="K39" i="5"/>
  <c r="K47" i="5"/>
  <c r="K43" i="5"/>
  <c r="K42" i="5"/>
  <c r="K40" i="5"/>
  <c r="J47" i="5"/>
  <c r="J43" i="5"/>
  <c r="J42" i="5"/>
  <c r="J40" i="5"/>
  <c r="I47" i="5"/>
  <c r="I43" i="5"/>
  <c r="I42" i="5"/>
  <c r="I40" i="5"/>
  <c r="H47" i="5"/>
  <c r="H43" i="5"/>
  <c r="H42" i="5"/>
  <c r="H40" i="5"/>
  <c r="G47" i="5"/>
  <c r="G43" i="5"/>
  <c r="G42" i="5"/>
  <c r="G40" i="5"/>
  <c r="F47" i="5"/>
  <c r="F43" i="5"/>
  <c r="F42" i="5"/>
  <c r="F40" i="5"/>
  <c r="E47" i="5"/>
  <c r="E43" i="5"/>
  <c r="E42" i="5"/>
  <c r="E40" i="5"/>
  <c r="D47" i="5"/>
  <c r="D43" i="5"/>
  <c r="D42" i="5"/>
  <c r="D40" i="5"/>
  <c r="C21" i="15"/>
  <c r="M37" i="5" l="1"/>
  <c r="K37" i="5"/>
  <c r="H33" i="16" l="1"/>
  <c r="H32" i="16"/>
  <c r="V11" i="17" l="1"/>
  <c r="W11" i="17"/>
  <c r="X11" i="17"/>
  <c r="Y11" i="17"/>
  <c r="Z11" i="17"/>
  <c r="AA11" i="17"/>
  <c r="AB11" i="17"/>
  <c r="AC11" i="17"/>
  <c r="AD11" i="17"/>
  <c r="AE11" i="17"/>
  <c r="AF11" i="17"/>
  <c r="AG11" i="17"/>
  <c r="AH11" i="17"/>
  <c r="AI11" i="17"/>
  <c r="AJ11" i="17"/>
  <c r="AK11" i="17"/>
  <c r="AL11" i="17"/>
  <c r="AM11" i="17"/>
  <c r="AN11" i="17"/>
  <c r="AO11" i="17"/>
  <c r="AP11" i="17"/>
  <c r="AQ11" i="17"/>
  <c r="AR11" i="17"/>
  <c r="AS11" i="17"/>
  <c r="AT11" i="17"/>
  <c r="AU11" i="17"/>
  <c r="U11" i="17"/>
  <c r="L11" i="17"/>
  <c r="M11" i="17"/>
  <c r="N11" i="17"/>
  <c r="O11" i="17"/>
  <c r="P11" i="17"/>
  <c r="Q11" i="17"/>
  <c r="R11" i="17"/>
  <c r="S11" i="17"/>
  <c r="T11" i="17"/>
  <c r="K11" i="17"/>
  <c r="H34" i="16" l="1"/>
  <c r="M21" i="7" l="1"/>
  <c r="I15" i="11"/>
  <c r="I16" i="11" s="1"/>
  <c r="I17" i="11" s="1"/>
  <c r="I18" i="11" s="1"/>
  <c r="I19" i="11" s="1"/>
  <c r="I20" i="11" s="1"/>
  <c r="I21" i="11" s="1"/>
  <c r="I22" i="11" s="1"/>
  <c r="I23" i="11" s="1"/>
  <c r="I24" i="11" s="1"/>
  <c r="I25" i="11" s="1"/>
  <c r="I26" i="11" s="1"/>
  <c r="I29" i="11" s="1"/>
  <c r="I30" i="11" s="1"/>
  <c r="I31" i="11" s="1"/>
  <c r="I32" i="11" s="1"/>
  <c r="I33" i="11" s="1"/>
  <c r="I34" i="11" s="1"/>
  <c r="I35" i="11" s="1"/>
  <c r="I36" i="11" s="1"/>
  <c r="I37" i="11" s="1"/>
  <c r="I38" i="11" s="1"/>
  <c r="I39" i="11" s="1"/>
  <c r="I40" i="11" s="1"/>
  <c r="I41" i="11" s="1"/>
  <c r="I42" i="11" s="1"/>
  <c r="I43" i="11" s="1"/>
  <c r="I44" i="11" s="1"/>
  <c r="I45" i="11" s="1"/>
  <c r="I46" i="11" s="1"/>
  <c r="I47" i="11" s="1"/>
  <c r="I48" i="11" s="1"/>
  <c r="I49" i="11" s="1"/>
  <c r="I50" i="11" s="1"/>
  <c r="I51" i="11" s="1"/>
  <c r="I52" i="11" s="1"/>
  <c r="I53" i="11" s="1"/>
  <c r="I54" i="11" s="1"/>
  <c r="I55" i="11" s="1"/>
  <c r="I56" i="11" s="1"/>
  <c r="I57" i="11" s="1"/>
  <c r="I58" i="11" s="1"/>
  <c r="I59" i="11" s="1"/>
  <c r="I60" i="11" s="1"/>
  <c r="I61" i="11" s="1"/>
  <c r="I62" i="11" s="1"/>
  <c r="I63" i="11" s="1"/>
  <c r="I64" i="11" s="1"/>
  <c r="I65" i="11" s="1"/>
  <c r="I66" i="11" s="1"/>
  <c r="I67" i="11" s="1"/>
  <c r="I68" i="11" s="1"/>
  <c r="I69" i="11" s="1"/>
  <c r="I70" i="11" s="1"/>
  <c r="I71" i="11" s="1"/>
  <c r="I72" i="11" s="1"/>
  <c r="I73" i="11" s="1"/>
  <c r="I74" i="11" s="1"/>
  <c r="I77" i="11" s="1"/>
  <c r="I78" i="11" s="1"/>
  <c r="I79" i="11" s="1"/>
  <c r="I80" i="11" s="1"/>
  <c r="I81" i="11" s="1"/>
  <c r="I82" i="11" s="1"/>
  <c r="I83" i="11" s="1"/>
  <c r="I84" i="11" s="1"/>
  <c r="I85" i="11" s="1"/>
  <c r="I86" i="11" s="1"/>
  <c r="I87" i="11" s="1"/>
  <c r="I88" i="11" s="1"/>
  <c r="I89" i="11" s="1"/>
  <c r="I90" i="11" s="1"/>
  <c r="I91" i="11" s="1"/>
  <c r="I92" i="11" s="1"/>
  <c r="I93" i="11" s="1"/>
  <c r="I94" i="11" s="1"/>
  <c r="I95" i="11" s="1"/>
  <c r="I96" i="11" s="1"/>
  <c r="I97" i="11" s="1"/>
  <c r="I98" i="11" s="1"/>
  <c r="I99" i="11" s="1"/>
  <c r="I100" i="11" s="1"/>
  <c r="I101" i="11" s="1"/>
  <c r="I102" i="11" s="1"/>
  <c r="I103" i="11" s="1"/>
  <c r="I104" i="11" s="1"/>
  <c r="I105" i="11" s="1"/>
  <c r="I106" i="11" s="1"/>
  <c r="I107" i="11" s="1"/>
  <c r="I108" i="11" s="1"/>
  <c r="I109" i="11" s="1"/>
  <c r="I110" i="11" s="1"/>
  <c r="I111" i="11" s="1"/>
  <c r="I112" i="11" s="1"/>
  <c r="I113" i="11" s="1"/>
  <c r="I114" i="11" s="1"/>
  <c r="I115" i="11" s="1"/>
  <c r="I116" i="11" s="1"/>
  <c r="I117" i="11" s="1"/>
  <c r="I118" i="11" s="1"/>
  <c r="I119" i="11" s="1"/>
  <c r="I120" i="11" s="1"/>
  <c r="I121" i="11" s="1"/>
  <c r="I122" i="11" s="1"/>
  <c r="I123" i="11" s="1"/>
  <c r="I124" i="11" s="1"/>
  <c r="I125" i="11" s="1"/>
  <c r="I126" i="11" s="1"/>
  <c r="I127" i="11" s="1"/>
  <c r="I128" i="11" s="1"/>
  <c r="I129" i="11" s="1"/>
  <c r="I130" i="11" s="1"/>
  <c r="I131" i="11" s="1"/>
  <c r="I132" i="11" s="1"/>
  <c r="I133" i="11" s="1"/>
  <c r="I134" i="11" s="1"/>
  <c r="I135" i="11" s="1"/>
  <c r="I136" i="11" s="1"/>
  <c r="I137" i="11" s="1"/>
  <c r="I138" i="11" s="1"/>
  <c r="I139" i="11" s="1"/>
  <c r="I140" i="11" s="1"/>
  <c r="I141" i="11" s="1"/>
  <c r="I142" i="11" s="1"/>
  <c r="I143" i="11" s="1"/>
  <c r="I144" i="11" s="1"/>
  <c r="I145" i="11" s="1"/>
  <c r="I146" i="11" s="1"/>
  <c r="I147" i="11" s="1"/>
  <c r="I148" i="11" s="1"/>
  <c r="I149" i="11" s="1"/>
  <c r="I150" i="11" s="1"/>
  <c r="I151" i="11" s="1"/>
  <c r="I152" i="11" s="1"/>
  <c r="C9" i="6" l="1"/>
  <c r="H29" i="16"/>
  <c r="H28" i="16"/>
  <c r="H31" i="16"/>
  <c r="H30" i="16"/>
  <c r="L9" i="6" l="1"/>
  <c r="L10" i="6"/>
  <c r="F18" i="7" l="1"/>
  <c r="F19" i="7" s="1"/>
  <c r="AU18" i="17" l="1"/>
  <c r="AT18" i="17"/>
  <c r="AS18" i="17"/>
  <c r="AR18" i="17"/>
  <c r="AQ18" i="17"/>
  <c r="AP18" i="17"/>
  <c r="AO18" i="17"/>
  <c r="AN18" i="17"/>
  <c r="AM18" i="17"/>
  <c r="AL18" i="17"/>
  <c r="AK18" i="17"/>
  <c r="AJ18" i="17"/>
  <c r="AI18" i="17"/>
  <c r="AH18" i="17"/>
  <c r="AG18" i="17"/>
  <c r="AF18" i="17"/>
  <c r="AE18" i="17"/>
  <c r="AD18" i="17"/>
  <c r="AC18" i="17"/>
  <c r="AB18" i="17"/>
  <c r="AA18" i="17"/>
  <c r="Z18" i="17"/>
  <c r="Y18" i="17"/>
  <c r="X18" i="17"/>
  <c r="W18" i="17"/>
  <c r="V18" i="17"/>
  <c r="U18" i="17"/>
  <c r="T16" i="17"/>
  <c r="S16" i="17"/>
  <c r="R16" i="17"/>
  <c r="Q16" i="17"/>
  <c r="P16" i="17"/>
  <c r="O16" i="17"/>
  <c r="N16" i="17"/>
  <c r="M16" i="17"/>
  <c r="L16" i="17"/>
  <c r="K16" i="17"/>
  <c r="T15" i="17"/>
  <c r="S15" i="17"/>
  <c r="R15" i="17"/>
  <c r="Q15" i="17"/>
  <c r="P15" i="17"/>
  <c r="O15" i="17"/>
  <c r="N15" i="17"/>
  <c r="M15" i="17"/>
  <c r="L15" i="17"/>
  <c r="K15" i="17"/>
  <c r="AR14" i="17"/>
  <c r="AQ14" i="17"/>
  <c r="AP14" i="17"/>
  <c r="AO14" i="17"/>
  <c r="AN14" i="17"/>
  <c r="AM14" i="17"/>
  <c r="AL14" i="17"/>
  <c r="AK14" i="17"/>
  <c r="AJ14" i="17"/>
  <c r="AI14" i="17"/>
  <c r="AH14" i="17"/>
  <c r="AG14" i="17"/>
  <c r="AF14" i="17"/>
  <c r="AE14" i="17"/>
  <c r="AD14" i="17"/>
  <c r="AC14" i="17"/>
  <c r="AB14" i="17"/>
  <c r="AA14" i="17"/>
  <c r="Z14" i="17"/>
  <c r="Y14" i="17"/>
  <c r="X14" i="17"/>
  <c r="W14" i="17"/>
  <c r="V14" i="17"/>
  <c r="U14" i="17"/>
  <c r="T14" i="17"/>
  <c r="S14" i="17"/>
  <c r="R14" i="17"/>
  <c r="Q14" i="17"/>
  <c r="P14" i="17"/>
  <c r="O14" i="17"/>
  <c r="N14" i="17"/>
  <c r="M14" i="17"/>
  <c r="L14" i="17"/>
  <c r="K14" i="17"/>
  <c r="AU13" i="17"/>
  <c r="AT13" i="17"/>
  <c r="AS13" i="17"/>
  <c r="AR13" i="17"/>
  <c r="AQ13" i="17"/>
  <c r="AP13" i="17"/>
  <c r="AO13" i="17"/>
  <c r="AN13" i="17"/>
  <c r="AM13" i="17"/>
  <c r="AL13" i="17"/>
  <c r="AK13" i="17"/>
  <c r="AJ13" i="17"/>
  <c r="AI13" i="17"/>
  <c r="AH13" i="17"/>
  <c r="AG13" i="17"/>
  <c r="AF13" i="17"/>
  <c r="AE13" i="17"/>
  <c r="AD13" i="17"/>
  <c r="AC13" i="17"/>
  <c r="AB13" i="17"/>
  <c r="AA13" i="17"/>
  <c r="Z13" i="17"/>
  <c r="Y13" i="17"/>
  <c r="X13" i="17"/>
  <c r="W13" i="17"/>
  <c r="V13" i="17"/>
  <c r="U13" i="17"/>
  <c r="T13" i="17"/>
  <c r="S13" i="17"/>
  <c r="R13" i="17"/>
  <c r="Q13" i="17"/>
  <c r="P13" i="17"/>
  <c r="O13" i="17"/>
  <c r="N13" i="17"/>
  <c r="M13" i="17"/>
  <c r="L13" i="17"/>
  <c r="K13" i="17"/>
  <c r="M20" i="7" l="1"/>
  <c r="M22" i="7" s="1"/>
  <c r="C22" i="15" s="1"/>
  <c r="M15" i="7"/>
  <c r="M16" i="7"/>
  <c r="M17" i="7"/>
  <c r="M18" i="7"/>
  <c r="M19" i="7"/>
  <c r="J38" i="5" l="1"/>
  <c r="L38" i="5"/>
  <c r="M38" i="5"/>
  <c r="G38" i="5"/>
  <c r="I38" i="5"/>
  <c r="D38" i="5"/>
  <c r="K38" i="5"/>
  <c r="E38" i="5"/>
  <c r="F38" i="5"/>
  <c r="H38" i="5"/>
  <c r="AQ8" i="17"/>
  <c r="D48" i="17" s="1"/>
  <c r="AP8" i="17"/>
  <c r="D47" i="17" s="1"/>
  <c r="AO8" i="17"/>
  <c r="D46" i="17" s="1"/>
  <c r="AN8" i="17"/>
  <c r="D45" i="17" s="1"/>
  <c r="AM8" i="17"/>
  <c r="D44" i="17" s="1"/>
  <c r="AL8" i="17"/>
  <c r="D43" i="17" s="1"/>
  <c r="AK8" i="17"/>
  <c r="D42" i="17" s="1"/>
  <c r="AJ8" i="17"/>
  <c r="D41" i="17" s="1"/>
  <c r="D25" i="17"/>
  <c r="D23" i="17"/>
  <c r="D21" i="17"/>
  <c r="D17" i="17"/>
  <c r="F17" i="17" s="1"/>
  <c r="D18" i="17"/>
  <c r="F18" i="17" s="1"/>
  <c r="D20" i="17"/>
  <c r="D22" i="17"/>
  <c r="D26" i="17"/>
  <c r="D27" i="17"/>
  <c r="D28" i="17"/>
  <c r="D29" i="17"/>
  <c r="D30" i="17"/>
  <c r="D31" i="17"/>
  <c r="D32" i="17"/>
  <c r="D33" i="17"/>
  <c r="D35" i="17"/>
  <c r="D36" i="17"/>
  <c r="D37" i="17"/>
  <c r="D38" i="17"/>
  <c r="D39" i="17"/>
  <c r="D40" i="17"/>
  <c r="D49" i="17"/>
  <c r="D50" i="17"/>
  <c r="D51" i="17"/>
  <c r="D52" i="17"/>
  <c r="D16" i="17"/>
  <c r="G16" i="17" s="1"/>
  <c r="AM10" i="17"/>
  <c r="AM9" i="17" s="1"/>
  <c r="AL10" i="17"/>
  <c r="AL9" i="17" s="1"/>
  <c r="AK10" i="17"/>
  <c r="AK9" i="17" s="1"/>
  <c r="AJ10" i="17"/>
  <c r="AJ9" i="17" s="1"/>
  <c r="AO10" i="17"/>
  <c r="AO9" i="17" s="1"/>
  <c r="AN10" i="17"/>
  <c r="AN9" i="17" s="1"/>
  <c r="AQ10" i="17"/>
  <c r="W9" i="17"/>
  <c r="X9" i="17"/>
  <c r="Z9" i="17"/>
  <c r="Y9" i="17"/>
  <c r="AA9" i="17"/>
  <c r="AB9" i="17"/>
  <c r="AD9" i="17"/>
  <c r="V9" i="17"/>
  <c r="AE9" i="17"/>
  <c r="AF9" i="17"/>
  <c r="AG9" i="17"/>
  <c r="AH9" i="17"/>
  <c r="AS9" i="17"/>
  <c r="AT9" i="17"/>
  <c r="AU9" i="17"/>
  <c r="U9" i="17"/>
  <c r="L9" i="17"/>
  <c r="M9" i="17"/>
  <c r="O9" i="17"/>
  <c r="P9" i="17"/>
  <c r="Q9" i="17"/>
  <c r="R9" i="17"/>
  <c r="T9" i="17"/>
  <c r="K9" i="17"/>
  <c r="AP10" i="17"/>
  <c r="AP9" i="17" l="1"/>
  <c r="AQ9" i="17"/>
  <c r="AC41" i="17"/>
  <c r="N41" i="17"/>
  <c r="AR149" i="17"/>
  <c r="S41" i="17"/>
  <c r="F16" i="17"/>
  <c r="G18" i="17"/>
  <c r="G17" i="17"/>
  <c r="C8" i="17"/>
  <c r="AC8" i="17" l="1"/>
  <c r="D34" i="17" s="1"/>
  <c r="AC10" i="17"/>
  <c r="AC9" i="17" s="1"/>
  <c r="S10" i="17"/>
  <c r="S9" i="17" s="1"/>
  <c r="S8" i="17"/>
  <c r="D24" i="17" s="1"/>
  <c r="N10" i="17"/>
  <c r="N9" i="17" s="1"/>
  <c r="N8" i="17"/>
  <c r="P67" i="17"/>
  <c r="P68" i="17"/>
  <c r="P66" i="17"/>
  <c r="K67" i="17"/>
  <c r="K68" i="17"/>
  <c r="K66" i="17"/>
  <c r="H18" i="17"/>
  <c r="H17" i="17"/>
  <c r="AR41" i="17"/>
  <c r="AR10" i="17" s="1"/>
  <c r="AR9" i="17" s="1"/>
  <c r="AI41" i="17"/>
  <c r="C9" i="17"/>
  <c r="G95" i="11"/>
  <c r="E79" i="11"/>
  <c r="E87" i="11"/>
  <c r="E18" i="11"/>
  <c r="G83" i="11"/>
  <c r="E121" i="11"/>
  <c r="K20" i="6"/>
  <c r="E35" i="11"/>
  <c r="E127" i="11"/>
  <c r="K41" i="6"/>
  <c r="E94" i="11"/>
  <c r="E58" i="11"/>
  <c r="K29" i="6"/>
  <c r="E64" i="11"/>
  <c r="E46" i="11"/>
  <c r="E135" i="11"/>
  <c r="E42" i="11"/>
  <c r="E99" i="11"/>
  <c r="G82" i="11"/>
  <c r="E85" i="11"/>
  <c r="G96" i="11"/>
  <c r="E83" i="11"/>
  <c r="E91" i="11"/>
  <c r="G104" i="11"/>
  <c r="E44" i="11"/>
  <c r="E120" i="11"/>
  <c r="E26" i="11"/>
  <c r="E114" i="11"/>
  <c r="G81" i="11"/>
  <c r="E140" i="11"/>
  <c r="E32" i="11"/>
  <c r="G89" i="11"/>
  <c r="G85" i="11"/>
  <c r="E112" i="11"/>
  <c r="E62" i="11"/>
  <c r="E71" i="11"/>
  <c r="E16" i="11"/>
  <c r="E116" i="11"/>
  <c r="E148" i="11"/>
  <c r="E150" i="11"/>
  <c r="K21" i="6"/>
  <c r="E63" i="11"/>
  <c r="E45" i="11"/>
  <c r="E66" i="11"/>
  <c r="E152" i="11"/>
  <c r="G93" i="11"/>
  <c r="E137" i="11"/>
  <c r="G108" i="11"/>
  <c r="K31" i="6"/>
  <c r="G99" i="11"/>
  <c r="E108" i="11"/>
  <c r="E77" i="11"/>
  <c r="E47" i="11"/>
  <c r="E111" i="11"/>
  <c r="E37" i="11"/>
  <c r="E92" i="11"/>
  <c r="E23" i="11"/>
  <c r="G84" i="11"/>
  <c r="G87" i="11"/>
  <c r="E132" i="11"/>
  <c r="E98" i="11"/>
  <c r="K19" i="6"/>
  <c r="E107" i="11"/>
  <c r="E68" i="11"/>
  <c r="E96" i="11"/>
  <c r="E40" i="11"/>
  <c r="E106" i="11"/>
  <c r="E70" i="11"/>
  <c r="E141" i="11"/>
  <c r="K24" i="6"/>
  <c r="E84" i="11"/>
  <c r="K33" i="6"/>
  <c r="G105" i="11"/>
  <c r="E134" i="11"/>
  <c r="E39" i="11"/>
  <c r="E81" i="11"/>
  <c r="E74" i="11"/>
  <c r="E88" i="11"/>
  <c r="E59" i="11"/>
  <c r="E126" i="11"/>
  <c r="K38" i="6"/>
  <c r="E123" i="11"/>
  <c r="K26" i="6"/>
  <c r="E89" i="11"/>
  <c r="K36" i="6"/>
  <c r="E55" i="11"/>
  <c r="G102" i="11"/>
  <c r="E131" i="11"/>
  <c r="E100" i="11"/>
  <c r="G107" i="11"/>
  <c r="E61" i="11"/>
  <c r="E78" i="11"/>
  <c r="E25" i="11"/>
  <c r="E93" i="11"/>
  <c r="G94" i="11"/>
  <c r="G91" i="11"/>
  <c r="E65" i="11"/>
  <c r="E15" i="11"/>
  <c r="G86" i="11"/>
  <c r="G92" i="11"/>
  <c r="E41" i="11"/>
  <c r="E149" i="11"/>
  <c r="E51" i="11"/>
  <c r="E122" i="11"/>
  <c r="E69" i="11"/>
  <c r="E119" i="11"/>
  <c r="G103" i="11"/>
  <c r="E128" i="11"/>
  <c r="E125" i="11"/>
  <c r="E52" i="11"/>
  <c r="E36" i="11"/>
  <c r="K37" i="6"/>
  <c r="E117" i="11"/>
  <c r="K39" i="6"/>
  <c r="K25" i="6"/>
  <c r="K32" i="6"/>
  <c r="E102" i="11"/>
  <c r="K18" i="6"/>
  <c r="E151" i="11"/>
  <c r="E31" i="11"/>
  <c r="E67" i="11"/>
  <c r="E34" i="11"/>
  <c r="E104" i="11"/>
  <c r="E24" i="11"/>
  <c r="E97" i="11"/>
  <c r="E73" i="11"/>
  <c r="E43" i="11"/>
  <c r="K34" i="6"/>
  <c r="K30" i="6"/>
  <c r="E133" i="11"/>
  <c r="E29" i="11"/>
  <c r="E142" i="11"/>
  <c r="E139" i="11"/>
  <c r="E19" i="11"/>
  <c r="G98" i="11"/>
  <c r="G80" i="11"/>
  <c r="E138" i="11"/>
  <c r="E56" i="11"/>
  <c r="E115" i="11"/>
  <c r="K28" i="6"/>
  <c r="E21" i="11"/>
  <c r="G111" i="11"/>
  <c r="E103" i="11"/>
  <c r="G110" i="11"/>
  <c r="E144" i="11"/>
  <c r="G90" i="11"/>
  <c r="G101" i="11"/>
  <c r="K22" i="6"/>
  <c r="K40" i="6"/>
  <c r="E143" i="11"/>
  <c r="E53" i="11"/>
  <c r="E105" i="11"/>
  <c r="E38" i="11"/>
  <c r="E17" i="11"/>
  <c r="E146" i="11"/>
  <c r="E33" i="11"/>
  <c r="G100" i="11"/>
  <c r="K23" i="6"/>
  <c r="E124" i="11"/>
  <c r="E110" i="11"/>
  <c r="E136" i="11"/>
  <c r="E95" i="11"/>
  <c r="E54" i="11"/>
  <c r="E147" i="11"/>
  <c r="E50" i="11"/>
  <c r="G88" i="11"/>
  <c r="E82" i="11"/>
  <c r="E86" i="11"/>
  <c r="K27" i="6"/>
  <c r="E145" i="11"/>
  <c r="K35" i="6"/>
  <c r="E130" i="11"/>
  <c r="E109" i="11"/>
  <c r="G106" i="11"/>
  <c r="G112" i="11"/>
  <c r="E113" i="11"/>
  <c r="E57" i="11"/>
  <c r="G97" i="11"/>
  <c r="E118" i="11"/>
  <c r="E90" i="11"/>
  <c r="E60" i="11"/>
  <c r="E30" i="11"/>
  <c r="E72" i="11"/>
  <c r="E20" i="11"/>
  <c r="G109" i="11"/>
  <c r="E101" i="11"/>
  <c r="E22" i="11"/>
  <c r="E80" i="11"/>
  <c r="E129" i="11"/>
  <c r="L11" i="6" l="1"/>
  <c r="L12" i="6"/>
  <c r="F34" i="17"/>
  <c r="G34" i="17"/>
  <c r="D19" i="17"/>
  <c r="G46" i="17"/>
  <c r="F42" i="17"/>
  <c r="F38" i="17"/>
  <c r="F32" i="17"/>
  <c r="F28" i="17"/>
  <c r="F22" i="17"/>
  <c r="G47" i="17"/>
  <c r="G43" i="17"/>
  <c r="F39" i="17"/>
  <c r="F35" i="17"/>
  <c r="F31" i="17"/>
  <c r="F27" i="17"/>
  <c r="F20" i="17"/>
  <c r="F21" i="17"/>
  <c r="F25" i="17"/>
  <c r="G48" i="17"/>
  <c r="G50" i="17"/>
  <c r="G42" i="17"/>
  <c r="G40" i="17"/>
  <c r="G38" i="17"/>
  <c r="G36" i="17"/>
  <c r="G32" i="17"/>
  <c r="G30" i="17"/>
  <c r="G28" i="17"/>
  <c r="G22" i="17"/>
  <c r="G20" i="17"/>
  <c r="F52" i="17"/>
  <c r="F50" i="17"/>
  <c r="F48" i="17"/>
  <c r="F46" i="17"/>
  <c r="G49" i="17"/>
  <c r="G44" i="17"/>
  <c r="F40" i="17"/>
  <c r="F36" i="17"/>
  <c r="F30" i="17"/>
  <c r="F26" i="17"/>
  <c r="H26" i="17" s="1"/>
  <c r="G51" i="17"/>
  <c r="G45" i="17"/>
  <c r="F41" i="17"/>
  <c r="F37" i="17"/>
  <c r="F33" i="17"/>
  <c r="F29" i="17"/>
  <c r="F23" i="17"/>
  <c r="G52" i="17"/>
  <c r="G41" i="17"/>
  <c r="G39" i="17"/>
  <c r="G37" i="17"/>
  <c r="G35" i="17"/>
  <c r="G33" i="17"/>
  <c r="G31" i="17"/>
  <c r="G29" i="17"/>
  <c r="G25" i="17"/>
  <c r="G23" i="17"/>
  <c r="G21" i="17"/>
  <c r="F51" i="17"/>
  <c r="F49" i="17"/>
  <c r="F47" i="17"/>
  <c r="F45" i="17"/>
  <c r="F43" i="17"/>
  <c r="F44" i="17"/>
  <c r="G24" i="17"/>
  <c r="F24" i="17"/>
  <c r="C10" i="6" l="1"/>
  <c r="H47" i="17"/>
  <c r="H49" i="17"/>
  <c r="H46" i="17"/>
  <c r="H36" i="17"/>
  <c r="H50" i="17"/>
  <c r="H48" i="17"/>
  <c r="H44" i="17"/>
  <c r="H45" i="17"/>
  <c r="H30" i="17"/>
  <c r="H40" i="17"/>
  <c r="H43" i="17"/>
  <c r="H51" i="17"/>
  <c r="F19" i="17"/>
  <c r="G19" i="17"/>
  <c r="H24" i="17"/>
  <c r="H23" i="17"/>
  <c r="H33" i="17"/>
  <c r="H41" i="17"/>
  <c r="H52" i="17"/>
  <c r="H21" i="17"/>
  <c r="H27" i="17"/>
  <c r="H35" i="17"/>
  <c r="H22" i="17"/>
  <c r="H32" i="17"/>
  <c r="H42" i="17"/>
  <c r="H34" i="17"/>
  <c r="H29" i="17"/>
  <c r="H37" i="17"/>
  <c r="H25" i="17"/>
  <c r="H20" i="17"/>
  <c r="H31" i="17"/>
  <c r="H39" i="17"/>
  <c r="H28" i="17"/>
  <c r="H38" i="17"/>
  <c r="AI10" i="17"/>
  <c r="AI9" i="17" s="1"/>
  <c r="AU33" i="17"/>
  <c r="AT33" i="17"/>
  <c r="AS33" i="17"/>
  <c r="P44" i="17" l="1"/>
  <c r="N43" i="17"/>
  <c r="K44" i="17"/>
  <c r="S43" i="17"/>
  <c r="H19" i="17"/>
  <c r="H26" i="16"/>
  <c r="H35" i="16"/>
  <c r="H22" i="16"/>
  <c r="H23" i="16"/>
  <c r="H25" i="16"/>
  <c r="H24" i="16"/>
  <c r="E49" i="11"/>
  <c r="E48" i="11"/>
  <c r="H16" i="17" l="1"/>
  <c r="C16" i="17" s="1"/>
  <c r="C17" i="17" l="1"/>
  <c r="C18" i="17" l="1"/>
  <c r="C19" i="17" s="1"/>
  <c r="C20" i="17" l="1"/>
  <c r="C21" i="17" l="1"/>
  <c r="C22" i="17" l="1"/>
  <c r="C23" i="17" l="1"/>
  <c r="C24" i="17" l="1"/>
  <c r="C25" i="17" l="1"/>
  <c r="C26" i="17" l="1"/>
  <c r="C27" i="17" l="1"/>
  <c r="C28" i="17" s="1"/>
  <c r="C29" i="17" l="1"/>
  <c r="C30" i="17" l="1"/>
  <c r="C31" i="17" s="1"/>
  <c r="C32" i="17" s="1"/>
  <c r="C33" i="17" l="1"/>
  <c r="C34" i="17" s="1"/>
  <c r="C35" i="17" l="1"/>
  <c r="C36" i="17" s="1"/>
  <c r="C37" i="17" l="1"/>
  <c r="C38" i="17" s="1"/>
  <c r="C39" i="17" s="1"/>
  <c r="C40" i="17" s="1"/>
  <c r="C41" i="17" s="1"/>
  <c r="C42" i="17" s="1"/>
  <c r="C43" i="17" s="1"/>
  <c r="C44" i="17" s="1"/>
  <c r="C45" i="17" s="1"/>
  <c r="C46" i="17" l="1"/>
  <c r="C47" i="17" s="1"/>
  <c r="C48" i="17" l="1"/>
  <c r="C49" i="17" l="1"/>
  <c r="C50" i="17" l="1"/>
  <c r="C51" i="17" l="1"/>
  <c r="C52" i="17" l="1"/>
  <c r="C10" i="17" l="1"/>
  <c r="E20" i="17" l="1"/>
  <c r="E33" i="17"/>
  <c r="E35" i="17"/>
  <c r="E24" i="17"/>
  <c r="E39" i="17"/>
  <c r="E34" i="17"/>
  <c r="E27" i="17"/>
  <c r="E47" i="17"/>
  <c r="E29" i="17"/>
  <c r="E32" i="17"/>
  <c r="E42" i="17"/>
  <c r="E48" i="17"/>
  <c r="E38" i="17"/>
  <c r="E45" i="17"/>
  <c r="E26" i="17"/>
  <c r="E46" i="17"/>
  <c r="E22" i="17"/>
  <c r="E52" i="17"/>
  <c r="E37" i="17"/>
  <c r="E41" i="17"/>
  <c r="E31" i="17"/>
  <c r="E36" i="17"/>
  <c r="E51" i="17"/>
  <c r="E30" i="17"/>
  <c r="E18" i="17"/>
  <c r="E25" i="17"/>
  <c r="E21" i="17"/>
  <c r="E50" i="17"/>
  <c r="E17" i="17"/>
  <c r="E40" i="17"/>
  <c r="E49" i="17"/>
  <c r="E43" i="17"/>
  <c r="E44" i="17"/>
  <c r="E19" i="17"/>
  <c r="E28" i="17"/>
  <c r="E23" i="17" l="1"/>
  <c r="E16" i="17"/>
  <c r="C12" i="17"/>
</calcChain>
</file>

<file path=xl/comments1.xml><?xml version="1.0" encoding="utf-8"?>
<comments xmlns="http://schemas.openxmlformats.org/spreadsheetml/2006/main">
  <authors>
    <author>Andy Shapiro</author>
  </authors>
  <commentList>
    <comment ref="H10" authorId="0">
      <text>
        <r>
          <rPr>
            <b/>
            <sz val="9"/>
            <color indexed="81"/>
            <rFont val="Tahoma"/>
            <family val="2"/>
          </rPr>
          <t>Process overview</t>
        </r>
        <r>
          <rPr>
            <sz val="9"/>
            <color indexed="81"/>
            <rFont val="Tahoma"/>
            <family val="2"/>
          </rPr>
          <t xml:space="preserve">
1. get a list of all the dose IDS to model (outside BMDS Wizard)
2. Use the proper BMDS template per type (continuous, dichotomous, organ weight continuous, cancer, etc.)
3. Type dose-response ID in I12, press "load"
4. press AUTORUN to model, import results, pick BMD model
5. then, press export XML to get xml out</t>
        </r>
      </text>
    </comment>
    <comment ref="C11" authorId="0">
      <text>
        <r>
          <rPr>
            <b/>
            <sz val="9"/>
            <color indexed="81"/>
            <rFont val="Calibri"/>
            <family val="2"/>
            <scheme val="minor"/>
          </rPr>
          <t>BMDS installation locations:</t>
        </r>
        <r>
          <rPr>
            <sz val="9"/>
            <color indexed="81"/>
            <rFont val="Calibri"/>
            <family val="2"/>
            <scheme val="minor"/>
          </rPr>
          <t xml:space="preserve">
In order to use the BMDS Wizard Autorun functionality, 
BMDS must be installed in the following location:
</t>
        </r>
        <r>
          <rPr>
            <sz val="9"/>
            <color indexed="81"/>
            <rFont val="Consolas"/>
            <family val="3"/>
          </rPr>
          <t>BMDS 2.1.1 -&gt; C:\USEPA\BMDS21
BMDS 2.1.2 -&gt; C:\USEPA\BMDS212
BMDS 2.2   -&gt; C:\USEPA\BMDS220
BMDS 2.3.1 -&gt; C:\USEPA\BMDS231</t>
        </r>
      </text>
    </comment>
  </commentList>
</comments>
</file>

<file path=xl/comments2.xml><?xml version="1.0" encoding="utf-8"?>
<comments xmlns="http://schemas.openxmlformats.org/spreadsheetml/2006/main">
  <authors>
    <author>Andy Shapiro</author>
  </authors>
  <commentList>
    <comment ref="D9" authorId="0">
      <text>
        <r>
          <rPr>
            <sz val="9"/>
            <color indexed="81"/>
            <rFont val="Tahoma"/>
            <family val="2"/>
          </rPr>
          <t xml:space="preserve"> </t>
        </r>
      </text>
    </comment>
    <comment ref="U9" authorId="0">
      <text>
        <r>
          <rPr>
            <sz val="9"/>
            <color indexed="81"/>
            <rFont val="Courier New"/>
            <family val="3"/>
          </rPr>
          <t xml:space="preserve">Dose        ActResp     PredResp    ScaledResid _x000D_
0.0000      1.000       1.373       -0.330      _x000D_
50.0000     3.000       2.445       0.379       _x000D_
150.0000    5.000       4.406       0.321       _x000D_
350.0000    7.000       7.695       -0.319      </t>
        </r>
      </text>
    </comment>
    <comment ref="D10" authorId="0">
      <text>
        <r>
          <rPr>
            <sz val="9"/>
            <color indexed="81"/>
            <rFont val="Tahoma"/>
            <family val="2"/>
          </rPr>
          <t xml:space="preserve"> </t>
        </r>
      </text>
    </comment>
    <comment ref="U10" authorId="0">
      <text>
        <r>
          <rPr>
            <sz val="9"/>
            <color indexed="81"/>
            <rFont val="Courier New"/>
            <family val="3"/>
          </rPr>
          <t xml:space="preserve">Dose        ActResp     PredResp    ScaledResid _x000D_
0.0000      1.000       1.008       -0.008      _x000D_
50.0000     3.000       2.945       0.035       _x000D_
150.0000    5.000       5.084       -0.043      _x000D_
350.0000    7.000       6.964       0.017       </t>
        </r>
      </text>
    </comment>
    <comment ref="D11" authorId="0">
      <text>
        <r>
          <rPr>
            <sz val="9"/>
            <color indexed="81"/>
            <rFont val="Tahoma"/>
            <family val="2"/>
          </rPr>
          <t xml:space="preserve"> </t>
        </r>
      </text>
    </comment>
    <comment ref="U11" authorId="0">
      <text>
        <r>
          <rPr>
            <sz val="9"/>
            <color indexed="81"/>
            <rFont val="Courier New"/>
            <family val="3"/>
          </rPr>
          <t xml:space="preserve">Dose        ActResp     PredResp    ScaledResid _x000D_
0.0000      1.000       1.234       -0.217      _x000D_
50.0000     3.000       2.521       0.323       _x000D_
150.0000    5.000       4.629       0.197       _x000D_
350.0000    7.000       7.617       -0.284      </t>
        </r>
      </text>
    </comment>
    <comment ref="D12" authorId="0">
      <text>
        <r>
          <rPr>
            <sz val="9"/>
            <color indexed="81"/>
            <rFont val="Tahoma"/>
            <family val="2"/>
          </rPr>
          <t xml:space="preserve"> </t>
        </r>
      </text>
    </comment>
    <comment ref="U12" authorId="0">
      <text>
        <r>
          <rPr>
            <sz val="9"/>
            <color indexed="81"/>
            <rFont val="Courier New"/>
            <family val="3"/>
          </rPr>
          <t xml:space="preserve">Dose        ActResp     PredResp    ScaledResid _x000D_
0.0000      1.000       2.066       -0.783      _x000D_
50.0000     3.000       2.550       0.301       _x000D_
150.0000    5.000       3.809       0.678       _x000D_
350.0000    7.000       7.575       -0.265      </t>
        </r>
      </text>
    </comment>
    <comment ref="D13" authorId="0">
      <text>
        <r>
          <rPr>
            <sz val="9"/>
            <color indexed="81"/>
            <rFont val="Tahoma"/>
            <family val="2"/>
          </rPr>
          <t xml:space="preserve"> </t>
        </r>
      </text>
    </comment>
    <comment ref="U13" authorId="0">
      <text>
        <r>
          <rPr>
            <sz val="9"/>
            <color indexed="81"/>
            <rFont val="Courier New"/>
            <family val="3"/>
          </rPr>
          <t xml:space="preserve">Dose        ActResp     PredResp    ScaledResid _x000D_
0.0000      1.000       1.982       -0.735      _x000D_
50.0000     3.000       2.517       0.326       _x000D_
150.0000    5.000       3.867       0.642       _x000D_
350.0000    7.000       7.609       -0.280      </t>
        </r>
      </text>
    </comment>
    <comment ref="D14" authorId="0">
      <text>
        <r>
          <rPr>
            <sz val="9"/>
            <color indexed="81"/>
            <rFont val="Tahoma"/>
            <family val="2"/>
          </rPr>
          <t xml:space="preserve"> </t>
        </r>
      </text>
    </comment>
    <comment ref="U14" authorId="0">
      <text>
        <r>
          <rPr>
            <sz val="9"/>
            <color indexed="81"/>
            <rFont val="Courier New"/>
            <family val="3"/>
          </rPr>
          <t xml:space="preserve">Dose        ActResp     PredResp    ScaledResid _x000D_
0.0000      1.000       2.084       -0.794      _x000D_
50.0000     3.000       2.235       0.543       _x000D_
150.0000    5.000       3.846       0.655       _x000D_
350.0000    7.000       7.971       -0.444      </t>
        </r>
      </text>
    </comment>
    <comment ref="D15" authorId="0">
      <text>
        <r>
          <rPr>
            <sz val="9"/>
            <color indexed="81"/>
            <rFont val="Tahoma"/>
            <family val="2"/>
          </rPr>
          <t xml:space="preserve"> </t>
        </r>
      </text>
    </comment>
    <comment ref="U15" authorId="0">
      <text>
        <r>
          <rPr>
            <sz val="9"/>
            <color indexed="81"/>
            <rFont val="Courier New"/>
            <family val="3"/>
          </rPr>
          <t xml:space="preserve">Dose        ActResp     PredResp    ScaledResid _x000D_
0.0000      1.000       1.373       -0.330      _x000D_
50.0000     3.000       2.445       0.379       _x000D_
150.0000    5.000       4.406       0.321       _x000D_
350.0000    7.000       7.695       -0.319      </t>
        </r>
      </text>
    </comment>
    <comment ref="D16" authorId="0">
      <text>
        <r>
          <rPr>
            <sz val="9"/>
            <color indexed="81"/>
            <rFont val="Tahoma"/>
            <family val="2"/>
          </rPr>
          <t xml:space="preserve"> </t>
        </r>
      </text>
    </comment>
    <comment ref="U16" authorId="0">
      <text>
        <r>
          <rPr>
            <sz val="9"/>
            <color indexed="81"/>
            <rFont val="Courier New"/>
            <family val="3"/>
          </rPr>
          <t xml:space="preserve">Dose        ActResp     PredResp    ScaledResid _x000D_
0.0000      1.000       1.373       -0.330      _x000D_
50.0000     3.000       2.445       0.379       _x000D_
150.0000    5.000       4.406       0.321       _x000D_
350.0000    7.000       7.695       -0.319      </t>
        </r>
      </text>
    </comment>
    <comment ref="D17" authorId="0">
      <text>
        <r>
          <rPr>
            <sz val="9"/>
            <color indexed="81"/>
            <rFont val="Tahoma"/>
            <family val="2"/>
          </rPr>
          <t xml:space="preserve"> </t>
        </r>
      </text>
    </comment>
    <comment ref="U17" authorId="0">
      <text>
        <r>
          <rPr>
            <sz val="9"/>
            <color indexed="81"/>
            <rFont val="Courier New"/>
            <family val="3"/>
          </rPr>
          <t xml:space="preserve">Dose        ActResp     PredResp    ScaledResid _x000D_
0.0000      1.000       1.373       -0.330      _x000D_
50.0000     3.000       2.445       0.379       _x000D_
150.0000    5.000       4.406       0.321       _x000D_
350.0000    7.000       7.695       -0.319      </t>
        </r>
      </text>
    </comment>
    <comment ref="D18" authorId="0">
      <text>
        <r>
          <rPr>
            <sz val="9"/>
            <color indexed="81"/>
            <rFont val="Tahoma"/>
            <family val="2"/>
          </rPr>
          <t xml:space="preserve"> </t>
        </r>
      </text>
    </comment>
    <comment ref="U18" authorId="0">
      <text>
        <r>
          <rPr>
            <sz val="9"/>
            <color indexed="81"/>
            <rFont val="Courier New"/>
            <family val="3"/>
          </rPr>
          <t xml:space="preserve">Dose        ActResp     PredResp    ScaledResid _x000D_
0.0000      1.000       1.373       -0.330      _x000D_
50.0000     3.000       2.445       0.379       _x000D_
150.0000    5.000       4.406       0.321       _x000D_
350.0000    7.000       7.695       -0.319      </t>
        </r>
      </text>
    </comment>
  </commentList>
</comments>
</file>

<file path=xl/comments3.xml><?xml version="1.0" encoding="utf-8"?>
<comments xmlns="http://schemas.openxmlformats.org/spreadsheetml/2006/main">
  <authors>
    <author>Andy Shapiro</author>
  </authors>
  <commentList>
    <comment ref="E10" authorId="0">
      <text>
        <r>
          <rPr>
            <b/>
            <sz val="8"/>
            <color indexed="81"/>
            <rFont val="Tahoma"/>
            <family val="2"/>
          </rPr>
          <t>Sources:</t>
        </r>
        <r>
          <rPr>
            <sz val="8"/>
            <color indexed="81"/>
            <rFont val="Tahoma"/>
            <family val="2"/>
          </rPr>
          <t xml:space="preserve">
http://support.microsoft.com/default.aspx?scid=kb;en-us;183503
http://www.excelforum.com/excel-general/332559-not-enough-system-resources-to-display-completly.html</t>
        </r>
      </text>
    </comment>
    <comment ref="B15" authorId="0">
      <text>
        <r>
          <rPr>
            <b/>
            <sz val="8"/>
            <color indexed="81"/>
            <rFont val="Tahoma"/>
            <family val="2"/>
          </rPr>
          <t>Andy Shapiro:</t>
        </r>
        <r>
          <rPr>
            <sz val="8"/>
            <color indexed="81"/>
            <rFont val="Tahoma"/>
            <family val="2"/>
          </rPr>
          <t xml:space="preserve">
A number for each value in validation list</t>
        </r>
      </text>
    </comment>
    <comment ref="C15" authorId="0">
      <text>
        <r>
          <rPr>
            <b/>
            <sz val="8"/>
            <color indexed="81"/>
            <rFont val="Tahoma"/>
            <family val="2"/>
          </rPr>
          <t>Andy Shapiro:</t>
        </r>
        <r>
          <rPr>
            <sz val="8"/>
            <color indexed="81"/>
            <rFont val="Tahoma"/>
            <family val="2"/>
          </rPr>
          <t xml:space="preserve">
Number starting at 1 and increasing by one for each unused value; otherwise says "used"</t>
        </r>
      </text>
    </comment>
    <comment ref="D15" authorId="0">
      <text>
        <r>
          <rPr>
            <b/>
            <sz val="8"/>
            <color indexed="81"/>
            <rFont val="Tahoma"/>
            <family val="2"/>
          </rPr>
          <t>Andy Shapiro:</t>
        </r>
        <r>
          <rPr>
            <sz val="8"/>
            <color indexed="81"/>
            <rFont val="Tahoma"/>
            <family val="2"/>
          </rPr>
          <t xml:space="preserve">
This is the original and full list of values</t>
        </r>
      </text>
    </comment>
    <comment ref="E15" authorId="0">
      <text>
        <r>
          <rPr>
            <b/>
            <sz val="8"/>
            <color indexed="81"/>
            <rFont val="Tahoma"/>
            <family val="2"/>
          </rPr>
          <t>Andy Shapiro:</t>
        </r>
        <r>
          <rPr>
            <sz val="8"/>
            <color indexed="81"/>
            <rFont val="Tahoma"/>
            <family val="2"/>
          </rPr>
          <t xml:space="preserve">
This is the list of remaining values</t>
        </r>
      </text>
    </comment>
  </commentList>
</comments>
</file>

<file path=xl/sharedStrings.xml><?xml version="1.0" encoding="utf-8"?>
<sst xmlns="http://schemas.openxmlformats.org/spreadsheetml/2006/main" count="4603" uniqueCount="938">
  <si>
    <t>NLogistic</t>
  </si>
  <si>
    <t>Rai_and_Van_Ryzin</t>
  </si>
  <si>
    <t>LogProbit-BgDose</t>
  </si>
  <si>
    <t>Multistage-Cancer-BgDose</t>
  </si>
  <si>
    <t>Current Column:</t>
  </si>
  <si>
    <t>Tab #5</t>
  </si>
  <si>
    <t>Tab #6</t>
  </si>
  <si>
    <t>Tab #7</t>
  </si>
  <si>
    <t>Model Type [for filename]</t>
  </si>
  <si>
    <t xml:space="preserve">     </t>
  </si>
  <si>
    <t>QuantalLinear</t>
  </si>
  <si>
    <t>Multistage-BgDose</t>
  </si>
  <si>
    <t>Weibull-BgDose</t>
  </si>
  <si>
    <t>NestedLogistic</t>
  </si>
  <si>
    <t>Rai-Van-Ryzin</t>
  </si>
  <si>
    <t>Lowertail</t>
  </si>
  <si>
    <t>Background Rate</t>
  </si>
  <si>
    <t>Title</t>
  </si>
  <si>
    <t>Natural</t>
  </si>
  <si>
    <t xml:space="preserve">Last modified: </t>
  </si>
  <si>
    <t>Main</t>
  </si>
  <si>
    <t>Hill</t>
  </si>
  <si>
    <t>Linear</t>
  </si>
  <si>
    <t>Polynomial</t>
  </si>
  <si>
    <t>Power</t>
  </si>
  <si>
    <t>Gamma</t>
  </si>
  <si>
    <t>Logistic</t>
  </si>
  <si>
    <t>LogLogistic</t>
  </si>
  <si>
    <t>LogProbit</t>
  </si>
  <si>
    <t>Multistage</t>
  </si>
  <si>
    <t>Probit</t>
  </si>
  <si>
    <t>Weibull</t>
  </si>
  <si>
    <t>Gamma-BgDose</t>
  </si>
  <si>
    <t>Dichotomous-Hill</t>
  </si>
  <si>
    <t>Logistic-BgResponse</t>
  </si>
  <si>
    <t>Probit-BgResponse</t>
  </si>
  <si>
    <t>NCTR</t>
  </si>
  <si>
    <t>Dose</t>
  </si>
  <si>
    <t># Subjects in Dose Group</t>
  </si>
  <si>
    <t>Mean</t>
  </si>
  <si>
    <t>Std. Deviation</t>
  </si>
  <si>
    <t>Response</t>
  </si>
  <si>
    <t>Iteration</t>
  </si>
  <si>
    <t>Relative Function</t>
  </si>
  <si>
    <t>Parameter</t>
  </si>
  <si>
    <t>BMD Calculation</t>
  </si>
  <si>
    <t>Confidence Level</t>
  </si>
  <si>
    <t>Adverse Direction</t>
  </si>
  <si>
    <t>BMR Type</t>
  </si>
  <si>
    <t>Degree of Polynomial</t>
  </si>
  <si>
    <t>Restriction</t>
  </si>
  <si>
    <t>Slope Value</t>
  </si>
  <si>
    <t>Power Value</t>
  </si>
  <si>
    <t>Incidence</t>
  </si>
  <si>
    <t>% Positive</t>
  </si>
  <si>
    <t>Background Value</t>
  </si>
  <si>
    <t>Dose Groups</t>
  </si>
  <si>
    <t>Risk Type</t>
  </si>
  <si>
    <t>Litter Size</t>
  </si>
  <si>
    <t>Litter Specific Covariate</t>
  </si>
  <si>
    <t>Fixed Litter Size</t>
  </si>
  <si>
    <t>Intralitter Correlations</t>
  </si>
  <si>
    <t>Automatic</t>
  </si>
  <si>
    <t>Extra</t>
  </si>
  <si>
    <t>None</t>
  </si>
  <si>
    <t>Overall Mean</t>
  </si>
  <si>
    <t>Use</t>
  </si>
  <si>
    <t>Estimate</t>
  </si>
  <si>
    <t>Model Type</t>
  </si>
  <si>
    <t>Description</t>
  </si>
  <si>
    <t>&lt;DOSE DataType="String" Caption="Dose" SelectOpt=""&gt;</t>
  </si>
  <si>
    <t>&lt;/DOSE&gt;</t>
  </si>
  <si>
    <t>&lt;NSUB DataType="String" Caption="# Subjects in Dose Group" SelectOpt=""&gt;</t>
  </si>
  <si>
    <t>&lt;/NSUB&gt;</t>
  </si>
  <si>
    <t>&lt;MEAN DataType="String" Caption="Mean" SelectOpt=""&gt;</t>
  </si>
  <si>
    <t>&lt;/MEAN&gt;</t>
  </si>
  <si>
    <t>&lt;SDEV DataType="String" Caption="Std. Deviation" SelectOpt=""&gt;</t>
  </si>
  <si>
    <t>&lt;/SDEV&gt;</t>
  </si>
  <si>
    <t>&lt;RESP DataType="String" Caption="Response" SelectOpt=""&gt;</t>
  </si>
  <si>
    <t>&lt;/RESP&gt;</t>
  </si>
  <si>
    <t>Dose Group</t>
  </si>
  <si>
    <t>&lt;INCD DataType="String" Caption="Incidence" SelectOpt=""&gt;</t>
  </si>
  <si>
    <t>&lt;PPOS DataType="String" Caption="% Positive" SelectOpt=""&gt;</t>
  </si>
  <si>
    <t>&lt;LITS DataType="String" Caption="Litter Size" SelectOpt=""&gt;</t>
  </si>
  <si>
    <t>&lt;DGRP DataType="String" Caption="Dose Group" SelectOpt=""&gt;</t>
  </si>
  <si>
    <t>&lt;LITC DataType="String" Caption="Litter Specific Covariate" SelectOpt=""&gt;</t>
  </si>
  <si>
    <t>&lt;/LITC&gt;</t>
  </si>
  <si>
    <t>&lt;/DGRP&gt;</t>
  </si>
  <si>
    <t>&lt;/LITS&gt;</t>
  </si>
  <si>
    <t>&lt;/PPOS&gt;</t>
  </si>
  <si>
    <t>&lt;/INCD&gt;</t>
  </si>
  <si>
    <t>&lt;ITER DataType="Integer" Caption="Iteration" SelectOpt=""&gt;</t>
  </si>
  <si>
    <t>&lt;/ITER&gt;</t>
  </si>
  <si>
    <t>&lt;RELF DataType="Double" Caption="Relative Function" SelectOpt=""&gt;</t>
  </si>
  <si>
    <t>&lt;/RELF&gt;</t>
  </si>
  <si>
    <t>&lt;PARM DataType="Double" Caption="Parameter" SelectOpt=""&gt;</t>
  </si>
  <si>
    <t>&lt;/PARM&gt;</t>
  </si>
  <si>
    <t>&lt;/BKPA&gt;</t>
  </si>
  <si>
    <t>&lt;/SLPA&gt;</t>
  </si>
  <si>
    <t>&lt;/POPA&gt;</t>
  </si>
  <si>
    <t>&lt;/RHO&gt;</t>
  </si>
  <si>
    <t>&lt;/CTRL&gt;</t>
  </si>
  <si>
    <t>&lt;/INPA&gt;</t>
  </si>
  <si>
    <t>&lt;/BETA&gt;</t>
  </si>
  <si>
    <t>&lt;/B0PA&gt;</t>
  </si>
  <si>
    <t>&lt;/B1PA&gt;</t>
  </si>
  <si>
    <t>&lt;/B2PA&gt;</t>
  </si>
  <si>
    <t>&lt;/B3PA&gt;</t>
  </si>
  <si>
    <t>&lt;/B4PA&gt;</t>
  </si>
  <si>
    <t>&lt;/B5PA&gt;</t>
  </si>
  <si>
    <t>&lt;/B6PA&gt;</t>
  </si>
  <si>
    <t>&lt;/B7PA&gt;</t>
  </si>
  <si>
    <t>&lt;/B8PA&gt;</t>
  </si>
  <si>
    <t>&lt;/T2PA&gt;</t>
  </si>
  <si>
    <t>&lt;/T1PA&gt;</t>
  </si>
  <si>
    <t>&lt;/P1PA&gt;</t>
  </si>
  <si>
    <t>&lt;/P2PA&gt;</t>
  </si>
  <si>
    <t>&lt;/P3PA&gt;</t>
  </si>
  <si>
    <t>&lt;/P4PA&gt;</t>
  </si>
  <si>
    <t>&lt;/P5PA&gt;</t>
  </si>
  <si>
    <t>&lt;/P6PA&gt;</t>
  </si>
  <si>
    <t>&lt;/P7PA&gt;</t>
  </si>
  <si>
    <t>&lt;/P8PA&gt;</t>
  </si>
  <si>
    <t>&lt;/P9PA&gt;</t>
  </si>
  <si>
    <t>&lt;/P10PA&gt;</t>
  </si>
  <si>
    <t>&lt;/VPAR&gt;</t>
  </si>
  <si>
    <t>&lt;/GPAR&gt;</t>
  </si>
  <si>
    <t>&lt;/NPAR&gt;</t>
  </si>
  <si>
    <t>&lt;/KPAR&gt;</t>
  </si>
  <si>
    <t>&lt;/POV&gt;</t>
  </si>
  <si>
    <t>&lt;/SLV&gt;</t>
  </si>
  <si>
    <t>&lt;/BKV&gt;</t>
  </si>
  <si>
    <t>&lt;RISK DataType="String" Caption="Risk Type" SelectOpt="Extra:Added"&gt;</t>
  </si>
  <si>
    <t>&lt;/RISK&gt;</t>
  </si>
  <si>
    <t>&lt;/BMR&gt;</t>
  </si>
  <si>
    <t>&lt;COLEV DataType="Float" Caption="Confidence Level" SelectOpt=""&gt;</t>
  </si>
  <si>
    <t>&lt;/COLEV&gt;</t>
  </si>
  <si>
    <t>&lt;BMDC DataType="Boolean" Caption="BMD Calculation" SelectOpt=""&gt;</t>
  </si>
  <si>
    <t>&lt;/BMDC&gt;</t>
  </si>
  <si>
    <t>&lt;BMDLC DataType="Boolean" Caption="BMDL Curve. Calc." SelectOpt=""&gt;</t>
  </si>
  <si>
    <t>&lt;/BMDLC&gt;</t>
  </si>
  <si>
    <t>&lt;DGRPS DataType="Integer" Caption="Dose Groups" SelectOpt=""&gt;</t>
  </si>
  <si>
    <t>&lt;/DGRPS&gt;</t>
  </si>
  <si>
    <t>Log of Dose</t>
  </si>
  <si>
    <t>&lt;LOGDOS DataType="Boolean" Caption="Log of Dose" SelectOpt=""&gt;</t>
  </si>
  <si>
    <t>&lt;/LOGDOS&gt;</t>
  </si>
  <si>
    <t>&lt;SLREST DataType="Boolean" Caption="Restrict Slope &amp;gt;= 1" SelectOpt=""&gt;</t>
  </si>
  <si>
    <t>&lt;/SLREST&gt;</t>
  </si>
  <si>
    <t>&lt;PWREST DataType="Boolean" Caption="Restrict Power &amp;gt;=1" SelectOpt=""&gt;</t>
  </si>
  <si>
    <t>&lt;/PWREST&gt;</t>
  </si>
  <si>
    <t>&lt;BEREST DataType="Boolean" Caption="Restrict Betas &amp;gt;=0" SelectOpt=""&gt;</t>
  </si>
  <si>
    <t>&lt;/BEREST&gt;</t>
  </si>
  <si>
    <t>&lt;NREST DataType="Boolean" Caption="Restrict n &amp;gt; 1" SelectOpt=""&gt;</t>
  </si>
  <si>
    <t>&lt;/NREST&gt;</t>
  </si>
  <si>
    <t>Log of Independent Var.</t>
  </si>
  <si>
    <t>&lt;LGIV DataType="Boolean" Caption="Log of Independent Var." SelectOpt=""&gt;</t>
  </si>
  <si>
    <t>&lt;/LGIV&gt;</t>
  </si>
  <si>
    <t>&lt;DEGP DataType="Integer" Caption="Degree of Polynomial" SelectOpt=""&gt;</t>
  </si>
  <si>
    <t>&lt;/DEGP&gt;</t>
  </si>
  <si>
    <t>Show Linear Extrapolation</t>
  </si>
  <si>
    <t>&lt;SLNRE DataType="Boolean" Caption="Show Linear Extrapolation" SelectOpt=""&gt;</t>
  </si>
  <si>
    <t>&lt;/SLNRE&gt;</t>
  </si>
  <si>
    <t>&lt;REST DataType="String" Caption="Restriction" SelectOpt="None:Non-positive:Non-negative"&gt;</t>
  </si>
  <si>
    <t>&lt;/REST&gt;</t>
  </si>
  <si>
    <t>&lt;ADVD DataType="String" Caption="Adverse Direction" SelectOpt="Automatic:Up:Down"&gt;</t>
  </si>
  <si>
    <t>&lt;/ADVD&gt;</t>
  </si>
  <si>
    <t>&lt;/BMRT&gt;</t>
  </si>
  <si>
    <t>Std. Dev.</t>
  </si>
  <si>
    <t>&lt;CVAR DataType="Boolean" Caption="Constant Variance(Rho=0)" SelectOpt=""&gt;</t>
  </si>
  <si>
    <t>&lt;/CVAR&gt;</t>
  </si>
  <si>
    <t>User Notes</t>
  </si>
  <si>
    <t>BMDS Model Run</t>
  </si>
  <si>
    <t>&lt;FLTS DataType="String" Caption="Fixed Litter Size" SelectOpt="Control Group Mean:Overall Mean"&gt;</t>
  </si>
  <si>
    <t>&lt;ULSC DataType="String" Caption="Litter Specific Covariate" SelectOpt="Use:Do not Use"&gt;</t>
  </si>
  <si>
    <t>&lt;ILTC DataType="String" Caption="Intralitter Correlations" SelectOpt="Estimate:Assume Zero"&gt;</t>
  </si>
  <si>
    <t>&lt;USERNOTES DataType="String" Caption="User Notes" SelectOpt=""&gt;</t>
  </si>
  <si>
    <t>&lt;/USERNOTES&gt;</t>
  </si>
  <si>
    <t>&lt;/ILTC&gt;</t>
  </si>
  <si>
    <t>&lt;/ULSC&gt;</t>
  </si>
  <si>
    <t>&lt;/FLTS&gt;</t>
  </si>
  <si>
    <t>&lt;/ALPH&gt;</t>
  </si>
  <si>
    <t>&lt;?xml version="1.0"?&gt;</t>
  </si>
  <si>
    <t>&lt;!DOCTYPE Settings[]&gt;</t>
  </si>
  <si>
    <t>&lt;Settings VERSION="1"&gt;</t>
  </si>
  <si>
    <t>&lt;Columns&gt;</t>
  </si>
  <si>
    <t>&lt;ANID DataType="String" Caption="Animal ID" SelectOpt=""&gt;</t>
  </si>
  <si>
    <t>&lt;/ANID&gt;</t>
  </si>
  <si>
    <t>&lt;TIME DataType="String" Caption="Time" SelectOpt=""&gt;</t>
  </si>
  <si>
    <t>&lt;/TIME&gt;</t>
  </si>
  <si>
    <t>&lt;/Columns&gt;</t>
  </si>
  <si>
    <t>&lt;Standard&gt;</t>
  </si>
  <si>
    <t>&lt;CHNA DataType="String" Caption="Chemical Name" SelectOpt=""&gt;</t>
  </si>
  <si>
    <t>&lt;/CHNA&gt;</t>
  </si>
  <si>
    <t>&lt;EXTY DataType="String" Caption="Exposure Type" SelectOpt=""&gt;</t>
  </si>
  <si>
    <t>&lt;/EXTY&gt;</t>
  </si>
  <si>
    <t>&lt;SPEC DataType="String" Caption="Species Name" SelectOpt=""&gt;</t>
  </si>
  <si>
    <t>&lt;/SPEC&gt;</t>
  </si>
  <si>
    <t>&lt;GEND DataType="String" Caption="Gender" SelectOpt=""&gt;</t>
  </si>
  <si>
    <t>&lt;/GEND&gt;</t>
  </si>
  <si>
    <t>&lt;/Standard&gt;</t>
  </si>
  <si>
    <t>&lt;Advanced&gt;</t>
  </si>
  <si>
    <t>&lt;BKV DataType="Double" Caption="Background Value" SelectOpt=""&gt;</t>
  </si>
  <si>
    <t>&lt;SLV DataType="Double" Caption="Slope Value" SelectOpt=""&gt;</t>
  </si>
  <si>
    <t>&lt;POV DataType="Double" Caption="Power Value" SelectOpt=""&gt;</t>
  </si>
  <si>
    <t>&lt;NTPT DataType="Integer" Caption="# of Time Points" SelectOpt="" Selected=""&gt;</t>
  </si>
  <si>
    <t>&lt;/NTPT&gt;</t>
  </si>
  <si>
    <t>&lt;XAMI DataType="Double" Caption="X-Axis Minimum Value" SelectOpt="" Selected=""&gt;</t>
  </si>
  <si>
    <t>&lt;/XAMI&gt;</t>
  </si>
  <si>
    <t>&lt;XAMX DataType="Double" Caption="X-Axis Maximum Value" SelectOpt="" Selected=""&gt;</t>
  </si>
  <si>
    <t>&lt;/XAMX&gt;</t>
  </si>
  <si>
    <t>&lt;YAMI DataType="Double" Caption="Y-Axis Minimum Value" SelectOpt="" Selected=""&gt;</t>
  </si>
  <si>
    <t>&lt;/YAMI&gt;</t>
  </si>
  <si>
    <t>&lt;YAMX DataType="Double" Caption="Y-Axis Maximum Value" SelectOpt="" Selected=""&gt;</t>
  </si>
  <si>
    <t>&lt;/YAMX&gt;</t>
  </si>
  <si>
    <t>&lt;SVA0 DataType="Double" Caption="A0" SelectOpt="Default:Initialized" Selected="Default"&gt;</t>
  </si>
  <si>
    <t>&lt;/SVA0&gt;</t>
  </si>
  <si>
    <t>&lt;SVB0 DataType="Double" Caption="B0" SelectOpt="Default:Initialized" Selected="Default"&gt;</t>
  </si>
  <si>
    <t>&lt;/SVB0&gt;</t>
  </si>
  <si>
    <t>&lt;SVC0 DataType="Double" Caption="C0" SelectOpt="Default:Initialized" Selected="Default"&gt;</t>
  </si>
  <si>
    <t>&lt;/SVC0&gt;</t>
  </si>
  <si>
    <t>&lt;SVK0 DataType="Double" Caption="K0" SelectOpt="Default:Initialized" Selected="Default"&gt;</t>
  </si>
  <si>
    <t>&lt;/SVK0&gt;</t>
  </si>
  <si>
    <t>&lt;SVA1 DataType="Double" Caption="A1" SelectOpt="Default:Initialized" Selected="Default"&gt;</t>
  </si>
  <si>
    <t>&lt;/SVA1&gt;</t>
  </si>
  <si>
    <t>&lt;SVA2 DataType="Double" Caption="A2" SelectOpt="Default:Initialized" Selected="Default"&gt;</t>
  </si>
  <si>
    <t>&lt;/SVA2&gt;</t>
  </si>
  <si>
    <t>&lt;LALP2 DataType="Double" Caption="lnAlpha" SelectOpt="Default:Specified:Initialized" Selected="Default"&gt;</t>
  </si>
  <si>
    <t>&lt;/LALP2&gt;</t>
  </si>
  <si>
    <t>&lt;RHO2 DataType="Double" Caption="Rho" SelectOpt="Default:Specified:Initialized" Selected="Default"&gt;</t>
  </si>
  <si>
    <t>&lt;/RHO2&gt;</t>
  </si>
  <si>
    <t>&lt;APAR2 DataType="Double" Caption="a" SelectOpt="Default:Specified:Initialized" Selected="Default"&gt;</t>
  </si>
  <si>
    <t>&lt;/APAR2&gt;</t>
  </si>
  <si>
    <t>&lt;BPAR2 DataType="Double" Caption="b" SelectOpt="Default:Specified:Initialized" Selected="Default"&gt;</t>
  </si>
  <si>
    <t>&lt;/BPAR2&gt;</t>
  </si>
  <si>
    <t>&lt;CPAR2 DataType="Double" Caption="c" SelectOpt="Default:Specified:Initialized" Selected="Default"&gt;</t>
  </si>
  <si>
    <t>&lt;/CPAR2&gt;</t>
  </si>
  <si>
    <t>&lt;DPAR2 DataType="Double" Caption="d" SelectOpt="Default:Specified:Initialized" Selected="Default"&gt;</t>
  </si>
  <si>
    <t>&lt;/DPAR2&gt;</t>
  </si>
  <si>
    <t>&lt;LALP3 DataType="Double" Caption="lnAlpha" SelectOpt="Default:Specified:Initialized" Selected="Default"&gt;</t>
  </si>
  <si>
    <t>&lt;/LALP3&gt;</t>
  </si>
  <si>
    <t>&lt;RHO3 DataType="Double" Caption="Rho" SelectOpt="Default:Specified:Initialized" Selected="Default"&gt;</t>
  </si>
  <si>
    <t>&lt;/RHO3&gt;</t>
  </si>
  <si>
    <t>&lt;APAR3 DataType="Double" Caption="a" SelectOpt="Default:Specified:Initialized" Selected="Default"&gt;</t>
  </si>
  <si>
    <t>&lt;/APAR3&gt;</t>
  </si>
  <si>
    <t>&lt;BPAR3 DataType="Double" Caption="b" SelectOpt="Default:Specified:Initialized" Selected="Default"&gt;</t>
  </si>
  <si>
    <t>&lt;/BPAR3&gt;</t>
  </si>
  <si>
    <t>&lt;CPAR3 DataType="Double" Caption="c" SelectOpt="Default:Specified:Initialized" Selected="Default"&gt;</t>
  </si>
  <si>
    <t>&lt;/CPAR3&gt;</t>
  </si>
  <si>
    <t>&lt;DPAR3 DataType="Double" Caption="d" SelectOpt="Default:Specified:Initialized" Selected="Default"&gt;</t>
  </si>
  <si>
    <t>&lt;/DPAR3&gt;</t>
  </si>
  <si>
    <t>&lt;LALP4 DataType="Double" Caption="lnAlpha" SelectOpt="Default:Specified:Initialized" Selected="Default"&gt;</t>
  </si>
  <si>
    <t>&lt;/LALP4&gt;</t>
  </si>
  <si>
    <t>&lt;RHO4 DataType="Double" Caption="Rho" SelectOpt="Default:Specified:Initialized" Selected="Default"&gt;</t>
  </si>
  <si>
    <t>&lt;/RHO4&gt;</t>
  </si>
  <si>
    <t>&lt;APAR4 DataType="Double" Caption="a" SelectOpt="Default:Specified:Initialized" Selected="Default"&gt;</t>
  </si>
  <si>
    <t>&lt;/APAR4&gt;</t>
  </si>
  <si>
    <t>&lt;BPAR4 DataType="Double" Caption="b" SelectOpt="Default:Specified:Initialized" Selected="Default"&gt;</t>
  </si>
  <si>
    <t>&lt;/BPAR4&gt;</t>
  </si>
  <si>
    <t>&lt;CPAR4 DataType="Double" Caption="c" SelectOpt="Default:Specified:Initialized" Selected="Default"&gt;</t>
  </si>
  <si>
    <t>&lt;/CPAR4&gt;</t>
  </si>
  <si>
    <t>&lt;DPAR4 DataType="Double" Caption="d" SelectOpt="Default:Specified:Initialized" Selected="Default"&gt;</t>
  </si>
  <si>
    <t>&lt;/DPAR4&gt;</t>
  </si>
  <si>
    <t>&lt;LALP5 DataType="Double" Caption="lnAlpha" SelectOpt="Default:Specified:Initialized" Selected="Default"&gt;</t>
  </si>
  <si>
    <t>&lt;/LALP5&gt;</t>
  </si>
  <si>
    <t>&lt;RHO5 DataType="Double" Caption="Rho" SelectOpt="Default:Specified:Initialized" Selected="Default"&gt;</t>
  </si>
  <si>
    <t>&lt;/RHO5&gt;</t>
  </si>
  <si>
    <t>&lt;APAR5 DataType="Double" Caption="a" SelectOpt="Default:Specified:Initialized" Selected="Default"&gt;</t>
  </si>
  <si>
    <t>&lt;/APAR5&gt;</t>
  </si>
  <si>
    <t>&lt;BPAR5 DataType="Double" Caption="b" SelectOpt="Default:Specified:Initialized" Selected="Default"&gt;</t>
  </si>
  <si>
    <t>&lt;/BPAR5&gt;</t>
  </si>
  <si>
    <t>&lt;CPAR5 DataType="Double" Caption="c" SelectOpt="Default:Specified:Initialized" Selected="Default"&gt;</t>
  </si>
  <si>
    <t>&lt;/CPAR5&gt;</t>
  </si>
  <si>
    <t>&lt;DPAR5 DataType="Double" Caption="d" SelectOpt="Default:Specified:Initialized" Selected="Default"&gt;</t>
  </si>
  <si>
    <t>&lt;/DPAR5&gt;</t>
  </si>
  <si>
    <t>&lt;/Advanced&gt;</t>
  </si>
  <si>
    <t>&lt;/Settings&gt;</t>
  </si>
  <si>
    <t>&lt;/LOGNORM&gt;</t>
  </si>
  <si>
    <t>&lt;/SOLUTION&gt;</t>
  </si>
  <si>
    <t>&lt;/EXPT&gt;</t>
  </si>
  <si>
    <t>&lt;/BGDEG&gt;</t>
  </si>
  <si>
    <t>&lt;LOGNORM DataType="String" Caption="Distribution" SelectOpt="Normal:Lognormal"&gt;</t>
  </si>
  <si>
    <t>&lt;SOLUTION DataType="String" Caption="Solution" SelectOpt="Exact:Approximate"&gt;</t>
  </si>
  <si>
    <t>&lt;EXPT DataType="Integer" Caption="Exposure Time" SelectOpt=""&gt;</t>
  </si>
  <si>
    <t>&lt;BGDEG DataType="Integer" Caption="Background Degree" SelectOpt="0:1:2"&gt;</t>
  </si>
  <si>
    <t>&lt;BMR DataType="Double" Caption="BMRF" SelectOpt=""&gt;</t>
  </si>
  <si>
    <t>&lt;BMRT DataType="String" Caption="BMR Type" SelectOpt="Rel. Dev.:Abs. Dev.:Std. Dev.:Point:Extra"&gt;</t>
  </si>
  <si>
    <t>&lt;BMRL DataType="Double" Caption="BMR Risk Level" SelectOpt=""&gt;</t>
  </si>
  <si>
    <t>&lt;BMDM DataType="String" Caption="Adverse Direction" SelectOpt="Uppertail:Lowertail:Bothside" Selected="Lowertail"&gt;</t>
  </si>
  <si>
    <t>&lt;ADDE DataType="String" Caption="Adverse Definition" SelectOpt="Background Rate:Cut Point" Selected="Background Rate"&gt;</t>
  </si>
  <si>
    <t>&lt;SPRL DataType="Double" Caption="Adverse Level" SelectOpt=""&gt;</t>
  </si>
  <si>
    <t>&lt;THOL DataType="Double" Caption="Low Cut-off" SelectOpt=""&gt;</t>
  </si>
  <si>
    <t>&lt;UPTL DataType="Double" Caption="High Cut-off" SelectOpt=""&gt;</t>
  </si>
  <si>
    <t>&lt;TSCI DataType="Boolean" Caption="Use Two Sided CI?" SelectOpt="FALSE:TRUE" Selected="FALSE"&gt;</t>
  </si>
  <si>
    <t>&lt;/TCLVL&gt;</t>
  </si>
  <si>
    <t>&lt;NBSR DataType="Integer" Caption="Bootstrap Iterations" SelectOpt=""&gt;</t>
  </si>
  <si>
    <t>&lt;TCLVL DataType="Float" Caption="Confidence Level" SelectOpt=""&gt;</t>
  </si>
  <si>
    <t>&lt;SBSR DataType="Boolean" Caption="Save Bootstrap Result?" SelectOpt="FALSE:TRUE" Selected="FALSE"&gt;</t>
  </si>
  <si>
    <t>&lt;/SBSR&gt;</t>
  </si>
  <si>
    <t>&lt;/NBSR&gt;</t>
  </si>
  <si>
    <t>&lt;/TSCI&gt;</t>
  </si>
  <si>
    <t>&lt;/UPTL&gt;</t>
  </si>
  <si>
    <t>&lt;/THOL&gt;</t>
  </si>
  <si>
    <t>&lt;/SPRL&gt;</t>
  </si>
  <si>
    <t>&lt;/ADDE&gt;</t>
  </si>
  <si>
    <t>&lt;/BMRL&gt;</t>
  </si>
  <si>
    <t>&lt;/BMDM&gt;</t>
  </si>
  <si>
    <t>&lt;MOD2 DataType="Boolean" Caption="Model 2" SelectOpt=""&gt;</t>
  </si>
  <si>
    <t>&lt;MOD3 DataType="Boolean" Caption="Model 3" SelectOpt=""&gt;</t>
  </si>
  <si>
    <t>&lt;MOD4 DataType="Boolean" Caption="Model 4" SelectOpt=""&gt;</t>
  </si>
  <si>
    <t>&lt;MOD5 DataType="Boolean" Caption="Model 5" SelectOpt=""&gt;</t>
  </si>
  <si>
    <t>&lt;GRPD DataType="Boolean" Caption="Grouped" SelectOpt=""&gt;</t>
  </si>
  <si>
    <t>&lt;/GRPD&gt;</t>
  </si>
  <si>
    <t>&lt;/MOD5&gt;</t>
  </si>
  <si>
    <t>&lt;/MOD4&gt;</t>
  </si>
  <si>
    <t>&lt;/MOD3&gt;</t>
  </si>
  <si>
    <t>&lt;/MOD2&gt;</t>
  </si>
  <si>
    <t>&lt;/CTIT&gt;</t>
  </si>
  <si>
    <t>&lt;/TALS&gt;</t>
  </si>
  <si>
    <t>&lt;TALS DataType="String" Caption="Time Axis Scale" SelectOpt="Natural:Log" Selected="Natural"&gt;</t>
  </si>
  <si>
    <t>&lt;CTIT DataType="String" Caption="Chart Title (optional)" SelectOpt="" Selected=""&gt;</t>
  </si>
  <si>
    <t>Animal ID</t>
  </si>
  <si>
    <t>Time</t>
  </si>
  <si>
    <t>Distribution</t>
  </si>
  <si>
    <t>Solution</t>
  </si>
  <si>
    <t>Exposure Time</t>
  </si>
  <si>
    <t>Background Degree</t>
  </si>
  <si>
    <t>BMRF</t>
  </si>
  <si>
    <t>BMDL Curve. Calc.</t>
  </si>
  <si>
    <t>BMR Risk Level</t>
  </si>
  <si>
    <t>Adverse Definition</t>
  </si>
  <si>
    <t>Adverse Level</t>
  </si>
  <si>
    <t>Low Cut-off</t>
  </si>
  <si>
    <t>High Cut-off</t>
  </si>
  <si>
    <t>Use Two Sided CI?</t>
  </si>
  <si>
    <t>Bootstrap Iterations</t>
  </si>
  <si>
    <t>Save Bootstrap Result?</t>
  </si>
  <si>
    <t>Chemical Name</t>
  </si>
  <si>
    <t>Expoure Type</t>
  </si>
  <si>
    <t>Species Name</t>
  </si>
  <si>
    <t>Gender</t>
  </si>
  <si>
    <t>Background</t>
  </si>
  <si>
    <t>Slope</t>
  </si>
  <si>
    <t>Alpha</t>
  </si>
  <si>
    <t>Rho</t>
  </si>
  <si>
    <t>Control</t>
  </si>
  <si>
    <t>Intercept</t>
  </si>
  <si>
    <t>Beta</t>
  </si>
  <si>
    <t>Beta0</t>
  </si>
  <si>
    <t>Beta1</t>
  </si>
  <si>
    <t>Beta2</t>
  </si>
  <si>
    <t>Beta3</t>
  </si>
  <si>
    <t>Beta4</t>
  </si>
  <si>
    <t>Beta5</t>
  </si>
  <si>
    <t>Beta6</t>
  </si>
  <si>
    <t>Beta7</t>
  </si>
  <si>
    <t>Beta8</t>
  </si>
  <si>
    <t>Theta1</t>
  </si>
  <si>
    <t>Theta2</t>
  </si>
  <si>
    <t>Phi1</t>
  </si>
  <si>
    <t>Phi2</t>
  </si>
  <si>
    <t>Phi3</t>
  </si>
  <si>
    <t>Phi4</t>
  </si>
  <si>
    <t>Phi5</t>
  </si>
  <si>
    <t>Phi6</t>
  </si>
  <si>
    <t>Phi7</t>
  </si>
  <si>
    <t>Phi8</t>
  </si>
  <si>
    <t>Phi9</t>
  </si>
  <si>
    <t>Phi10</t>
  </si>
  <si>
    <t>v</t>
  </si>
  <si>
    <t>g</t>
  </si>
  <si>
    <t>n</t>
  </si>
  <si>
    <t>k</t>
  </si>
  <si>
    <t>Chart Title (optional)</t>
  </si>
  <si>
    <t>Time Axis Scale</t>
  </si>
  <si>
    <t># of Time Points</t>
  </si>
  <si>
    <t>X-Axis Minimum Value</t>
  </si>
  <si>
    <t>X-Axis Maximum Value</t>
  </si>
  <si>
    <t>Y-Axis Minimum Value</t>
  </si>
  <si>
    <t>Y-Axis Maximum Value</t>
  </si>
  <si>
    <t>A0</t>
  </si>
  <si>
    <t>B0</t>
  </si>
  <si>
    <t>C0</t>
  </si>
  <si>
    <t>K0</t>
  </si>
  <si>
    <t>A1</t>
  </si>
  <si>
    <t>A2</t>
  </si>
  <si>
    <t>InAlpha</t>
  </si>
  <si>
    <t>a</t>
  </si>
  <si>
    <t>b</t>
  </si>
  <si>
    <t>c</t>
  </si>
  <si>
    <t>d</t>
  </si>
  <si>
    <t>String</t>
  </si>
  <si>
    <t>Normal</t>
  </si>
  <si>
    <t>Exact</t>
  </si>
  <si>
    <t>Parameter Name</t>
  </si>
  <si>
    <t>Model Type, Defaults, and Color Coding</t>
  </si>
  <si>
    <t>Tab #1</t>
  </si>
  <si>
    <t>Tab #2</t>
  </si>
  <si>
    <t>Tab #3</t>
  </si>
  <si>
    <t>Type and/or Format</t>
  </si>
  <si>
    <t>Exponential</t>
  </si>
  <si>
    <t>[ADD]</t>
  </si>
  <si>
    <t>Data Col Name</t>
  </si>
  <si>
    <t>Model Type (session)</t>
  </si>
  <si>
    <t>Model Name (session)</t>
  </si>
  <si>
    <t>Continuous</t>
  </si>
  <si>
    <t>Dichotomous</t>
  </si>
  <si>
    <t>Multistage-Cancer</t>
  </si>
  <si>
    <t>Quantal-Linear</t>
  </si>
  <si>
    <t>Dichotomous_Alternative</t>
  </si>
  <si>
    <t>Nested_Dichotomous</t>
  </si>
  <si>
    <t>BMD</t>
  </si>
  <si>
    <t>BMDL</t>
  </si>
  <si>
    <t>p-value Test 1</t>
  </si>
  <si>
    <t>p-value Test 2</t>
  </si>
  <si>
    <t>p-value Test 3</t>
  </si>
  <si>
    <t>p-value Test 4</t>
  </si>
  <si>
    <t>AIC</t>
  </si>
  <si>
    <t>Scaled Residual of Interest</t>
  </si>
  <si>
    <t>Lognormal</t>
  </si>
  <si>
    <t>Non-positive</t>
  </si>
  <si>
    <t>Non-negative</t>
  </si>
  <si>
    <t>Up</t>
  </si>
  <si>
    <t>Down</t>
  </si>
  <si>
    <t>Rel. Dev.</t>
  </si>
  <si>
    <t>Abs. Dev.</t>
  </si>
  <si>
    <t>Point</t>
  </si>
  <si>
    <t>Added</t>
  </si>
  <si>
    <t>Control Group Mean</t>
  </si>
  <si>
    <t>Litter Specific Coavariate</t>
  </si>
  <si>
    <t>Assume Zero</t>
  </si>
  <si>
    <t>"&gt;</t>
  </si>
  <si>
    <t>Default,</t>
  </si>
  <si>
    <t>&lt;ALPH DataType="Double" Caption="Alpha" SelectOpt="Default:Specified:Initialized" Selected="</t>
  </si>
  <si>
    <t>&lt;RHO DataType="Double" Caption="Rho" SelectOpt="Default:Specified:Initialized" Selected="</t>
  </si>
  <si>
    <t>&lt;CTRL DataType="Double" Caption="Control" SelectOpt="Default:Specified:Initialized" Selected="</t>
  </si>
  <si>
    <t>&lt;INPA DataType="Double" Caption="Intercept" SelectOpt="Default:Specified:Initialized" Selected="</t>
  </si>
  <si>
    <t>&lt;BETA DataType="Double" Caption="Beta" SelectOpt="Default:Specified:Initialized" Selected="</t>
  </si>
  <si>
    <t>&lt;B0PA DataType="Double" Caption="Beta0" SelectOpt="Default:Specified:Initialized" Selected="</t>
  </si>
  <si>
    <t>&lt;B1PA DataType="Double" Caption="Beta1" SelectOpt="Default:Specified:Initialized" Selected="</t>
  </si>
  <si>
    <t>&lt;B2PA DataType="Double" Caption="Beta2" SelectOpt="Default:Specified:Initialized" Selected="</t>
  </si>
  <si>
    <t>&lt;B3PA DataType="Double" Caption="Beta3" SelectOpt="Default:Specified:Initialized" Selected="</t>
  </si>
  <si>
    <t>&lt;B4PA DataType="Double" Caption="Beta4" SelectOpt="Default:Specified:Initialized" Selected="</t>
  </si>
  <si>
    <t>&lt;B5PA DataType="Double" Caption="Beta5" SelectOpt="Default:Specified:Initialized" Selected="</t>
  </si>
  <si>
    <t>&lt;B6PA DataType="Double" Caption="Beta6" SelectOpt="Default:Specified:Initialized" Selected="</t>
  </si>
  <si>
    <t>&lt;B7PA DataType="Double" Caption="Beta7" SelectOpt="Default:Specified:Initialized" Selected="</t>
  </si>
  <si>
    <t>&lt;B8PA DataType="Double" Caption="Beta8" SelectOpt="Default:Specified:Initialized" Selected="</t>
  </si>
  <si>
    <t>&lt;T1PA DataType="Double" Caption="Theta1" SelectOpt="Default:Specified:Initialized" Selected="</t>
  </si>
  <si>
    <t>&lt;T2PA DataType="Double" Caption="Theta2" SelectOpt="Default:Specified:Initialized" Selected="</t>
  </si>
  <si>
    <t>&lt;P1PA DataType="Double" Caption="Phi1" SelectOpt="Default:Specified:Initialized" Selected="</t>
  </si>
  <si>
    <t>&lt;P2PA DataType="Double" Caption="Phi2" SelectOpt="Default:Specified:Initialized" Selected="</t>
  </si>
  <si>
    <t>&lt;P3PA DataType="Double" Caption="Phi3" SelectOpt="Default:Specified:Initialized" Selected="</t>
  </si>
  <si>
    <t>&lt;P4PA DataType="Double" Caption="Phi4" SelectOpt="Default:Specified:Initialized" Selected="</t>
  </si>
  <si>
    <t>&lt;P5PA DataType="Double" Caption="Phi5" SelectOpt="Default:Specified:Initialized" Selected="</t>
  </si>
  <si>
    <t>&lt;P6PA DataType="Double" Caption="Phi6" SelectOpt="Default:Specified:Initialized" Selected="</t>
  </si>
  <si>
    <t>&lt;P7PA DataType="Double" Caption="Phi7" SelectOpt="Default:Specified:Initialized" Selected="</t>
  </si>
  <si>
    <t>&lt;P8PA DataType="Double" Caption="Phi8" SelectOpt="Default:Specified:Initialized" Selected="</t>
  </si>
  <si>
    <t>&lt;P9PA DataType="Double" Caption="Phi9" SelectOpt="Default:Specified:Initialized" Selected="</t>
  </si>
  <si>
    <t>&lt;P10PA DataType="Double" Caption="Phi10" SelectOpt="Default:Specified:Initialized" Selected="</t>
  </si>
  <si>
    <t>&lt;VPAR DataType="Double" Caption="v" SelectOpt="Default:Specified:Initialized" Selected="</t>
  </si>
  <si>
    <t>&lt;GPAR DataType="Double" Caption="g" SelectOpt="Default:Specified:Initialized" Selected="</t>
  </si>
  <si>
    <t>&lt;NPAR DataType="Double" Caption="n" SelectOpt="Default:Specified:Initialized" Selected="</t>
  </si>
  <si>
    <t>&lt;KPAR DataType="Double" Caption="k" SelectOpt="Default:Specified:Initialized" Selected="</t>
  </si>
  <si>
    <t>Constant Variance?</t>
  </si>
  <si>
    <t>&lt;BKPA DataType="Double" Caption="Background" SelectOpt="Default:Specified:Initialized" Selected="</t>
  </si>
  <si>
    <t>&lt;SLPA DataType="Double" Caption="Slope" SelectOpt="Default:Specified:Initialized" Selected="</t>
  </si>
  <si>
    <t>&lt;POPA DataType="Double" Caption="Power" SelectOpt="Default:Specified:Initialized" Selected="</t>
  </si>
  <si>
    <t>Do Not Use</t>
  </si>
  <si>
    <t>Integer</t>
  </si>
  <si>
    <t>Real</t>
  </si>
  <si>
    <t>Dropdown</t>
  </si>
  <si>
    <t>Orange</t>
  </si>
  <si>
    <t>Boolean</t>
  </si>
  <si>
    <t>Main Menu</t>
  </si>
  <si>
    <t>Restrict Slope &gt;= 1?</t>
  </si>
  <si>
    <t>Restrict Power &gt;= 1?</t>
  </si>
  <si>
    <t>Restrict Betas &gt;= 0?</t>
  </si>
  <si>
    <t>Restrict n&gt;1?</t>
  </si>
  <si>
    <t>Run Model 2?</t>
  </si>
  <si>
    <t>Run Model 3?</t>
  </si>
  <si>
    <t>Run Model 4?</t>
  </si>
  <si>
    <t>Run Model 5?</t>
  </si>
  <si>
    <t>Group Exp Models?</t>
  </si>
  <si>
    <t>Add new models to BMDS Session:</t>
  </si>
  <si>
    <t>Study and Modeling Inputs:</t>
  </si>
  <si>
    <t>Control Panel:</t>
  </si>
  <si>
    <t>C:\USEPA\BMDS21\</t>
  </si>
  <si>
    <t>OUT File Name</t>
  </si>
  <si>
    <t>Beta_1</t>
  </si>
  <si>
    <t>Beta_2</t>
  </si>
  <si>
    <t>Beta_3</t>
  </si>
  <si>
    <t>Beta_4</t>
  </si>
  <si>
    <t>Beta_5</t>
  </si>
  <si>
    <t>Beta_6</t>
  </si>
  <si>
    <t>Beta_7</t>
  </si>
  <si>
    <t>Beta_8</t>
  </si>
  <si>
    <t>Beta(1)</t>
  </si>
  <si>
    <t>Beta(2)</t>
  </si>
  <si>
    <t>Beta(3)</t>
  </si>
  <si>
    <t>Beta(4)</t>
  </si>
  <si>
    <t>Beta(5)</t>
  </si>
  <si>
    <t>d.f.</t>
  </si>
  <si>
    <t>BMD / BMDL</t>
  </si>
  <si>
    <t>Bound Table</t>
  </si>
  <si>
    <t>Model</t>
  </si>
  <si>
    <t>Variable</t>
  </si>
  <si>
    <t>Fails if…</t>
  </si>
  <si>
    <t>Value</t>
  </si>
  <si>
    <t>Current Variable:</t>
  </si>
  <si>
    <t>Current Value:</t>
  </si>
  <si>
    <t>Current Restriction:</t>
  </si>
  <si>
    <t>Pass/Fail?</t>
  </si>
  <si>
    <t>= 0</t>
  </si>
  <si>
    <t>Notes</t>
  </si>
  <si>
    <t>Note to include</t>
  </si>
  <si>
    <t xml:space="preserve">View Output File
</t>
  </si>
  <si>
    <t>= 1</t>
  </si>
  <si>
    <t>&lt; 1</t>
  </si>
  <si>
    <t>= 18</t>
  </si>
  <si>
    <t>hit bound (d = 1)</t>
  </si>
  <si>
    <t>unrestricted (d &lt; 1)</t>
  </si>
  <si>
    <t>hit bound (n = 1)</t>
  </si>
  <si>
    <t>unrestricted (n &lt; 1)</t>
  </si>
  <si>
    <t>hit upper bound (n = 18)</t>
  </si>
  <si>
    <t>hit bound (power = 1)</t>
  </si>
  <si>
    <t>unrestricted (power &lt; 1)</t>
  </si>
  <si>
    <t>hit bound (slope = 1)</t>
  </si>
  <si>
    <t>unrestricted (slope &lt; 1)</t>
  </si>
  <si>
    <t>Restricted Model</t>
  </si>
  <si>
    <t>Study/Endpoint Info [for filename]</t>
  </si>
  <si>
    <t>BMR Info [for filename]</t>
  </si>
  <si>
    <t>Rename Exponential Output Files</t>
  </si>
  <si>
    <t>_Exp</t>
  </si>
  <si>
    <t>Quantal</t>
  </si>
  <si>
    <t>GammaBgDose</t>
  </si>
  <si>
    <t>DichHill</t>
  </si>
  <si>
    <t>LogBgResp</t>
  </si>
  <si>
    <t>LogProbBgDose</t>
  </si>
  <si>
    <t>ProbitBgResp</t>
  </si>
  <si>
    <t>WeibullBgDose</t>
  </si>
  <si>
    <t>NestedLog</t>
  </si>
  <si>
    <t>RaiVanRyzin</t>
  </si>
  <si>
    <t xml:space="preserve"> </t>
  </si>
  <si>
    <t>Define and Test BMDS Parameter Bounds</t>
  </si>
  <si>
    <t>Build BMDS Input Model Setup</t>
  </si>
  <si>
    <t>BMDS Input Data</t>
  </si>
  <si>
    <t>BMDS Results</t>
  </si>
  <si>
    <t>Include in Summary Table?</t>
  </si>
  <si>
    <t>&lt;LOBPWR DataType="Double" Caption="Lower Bound on Power" SelectOpt=""&gt;</t>
  </si>
  <si>
    <t>&lt;/LOBPWR&gt;</t>
  </si>
  <si>
    <t>Power Lower Bound</t>
  </si>
  <si>
    <t>BMDS 2.1.1</t>
  </si>
  <si>
    <t>BMDS 2.1.2</t>
  </si>
  <si>
    <t>BMDS 2.1.2 [Build: 06/11/2010]</t>
  </si>
  <si>
    <t>BMDS 2.1.1 [Build: 11/06/2009]</t>
  </si>
  <si>
    <t>BMDS2.exe</t>
  </si>
  <si>
    <t>C:\USEPA\BMDS212\</t>
  </si>
  <si>
    <t>BMDS Directory</t>
  </si>
  <si>
    <t>Input</t>
  </si>
  <si>
    <t>Study &amp; Year:</t>
  </si>
  <si>
    <t>BMDS Model Version:</t>
  </si>
  <si>
    <t>Enter Study Data:</t>
  </si>
  <si>
    <t>Output File Directory:</t>
  </si>
  <si>
    <t>BMDS Wizard</t>
  </si>
  <si>
    <t>Test Description</t>
  </si>
  <si>
    <t>Test On/Off:</t>
  </si>
  <si>
    <t>on</t>
  </si>
  <si>
    <t>off</t>
  </si>
  <si>
    <t>Move to bin:</t>
  </si>
  <si>
    <t>Show splash start up screen</t>
  </si>
  <si>
    <t>Recommend model in Viable Bin?</t>
  </si>
  <si>
    <t>Recommend model in Questionable Bin?</t>
  </si>
  <si>
    <t xml:space="preserve">Decision-Logic </t>
  </si>
  <si>
    <t>BMD is not calculated</t>
  </si>
  <si>
    <t>N/A</t>
  </si>
  <si>
    <t>Unusable Bin</t>
  </si>
  <si>
    <t>Invalid BMD</t>
  </si>
  <si>
    <t>BMDL is not calculated</t>
  </si>
  <si>
    <t>Invalid BMDL</t>
  </si>
  <si>
    <t>AIC is not calculated</t>
  </si>
  <si>
    <t>Invalid AIC</t>
  </si>
  <si>
    <t>Model Recommendation/Bin Placement Logic</t>
  </si>
  <si>
    <t>Test On/Off</t>
  </si>
  <si>
    <t>Test Threshold (where appropriate)</t>
  </si>
  <si>
    <t>Bin Placement if 
Test is True</t>
  </si>
  <si>
    <t>Notes to Show</t>
  </si>
  <si>
    <t>BMDU is not calculated</t>
  </si>
  <si>
    <t>Invalid BMDU</t>
  </si>
  <si>
    <t>Ratio of BMD/BMDL (serious)</t>
  </si>
  <si>
    <t>Ratio of BMD/BMDL (caution)</t>
  </si>
  <si>
    <t>No Bin Change (Warning)</t>
  </si>
  <si>
    <t>Goodness of fit p-test (cancer)</t>
  </si>
  <si>
    <t>Abs(Residual of interest) too large</t>
  </si>
  <si>
    <t>Cancer Dichotomous</t>
  </si>
  <si>
    <t>Goodness of fit p-test</t>
  </si>
  <si>
    <t>BMDL range deemed "sufficiently close" to use lowest AIC instead of lowest BMDL in viable models:</t>
  </si>
  <si>
    <t>Model Recommendation Decision Logic</t>
  </si>
  <si>
    <t>Wrong variance model (p-test 2 fail)</t>
  </si>
  <si>
    <t>Poor control dose std. dev.</t>
  </si>
  <si>
    <t>Dichot-omous</t>
  </si>
  <si>
    <t>Abs(Residual at control) too large</t>
  </si>
  <si>
    <t>Wrong variance model</t>
  </si>
  <si>
    <t>Variance modeled poorly</t>
  </si>
  <si>
    <t>Variance modeled poorly (p-test 3 fail)</t>
  </si>
  <si>
    <t>Dichot-omous Cancer</t>
  </si>
  <si>
    <t>BMD higher than highest dose</t>
  </si>
  <si>
    <t>BMDL higher than highest dose</t>
  </si>
  <si>
    <t>[study notes]</t>
  </si>
  <si>
    <t>NumAnimals</t>
  </si>
  <si>
    <t>Stdev</t>
  </si>
  <si>
    <t>SE</t>
  </si>
  <si>
    <t>Dose-Response Data Inputs</t>
  </si>
  <si>
    <t>Default Model Option Files</t>
  </si>
  <si>
    <t>Options</t>
  </si>
  <si>
    <t>Exponential Search String (outfile name)</t>
  </si>
  <si>
    <t>Available models for selection</t>
  </si>
  <si>
    <t>Num Dose Groups</t>
  </si>
  <si>
    <t>Selected  Model</t>
  </si>
  <si>
    <t>Selected  Model Name</t>
  </si>
  <si>
    <t>Counter</t>
  </si>
  <si>
    <t>Appears in List</t>
  </si>
  <si>
    <t>Full List of Values</t>
  </si>
  <si>
    <t>Validation List</t>
  </si>
  <si>
    <t>Valid Model?</t>
  </si>
  <si>
    <t>Nested Dichotomous</t>
  </si>
  <si>
    <t>Valid Range of Names</t>
  </si>
  <si>
    <t>Selected Model Details</t>
  </si>
  <si>
    <t>Endpoint Description:</t>
  </si>
  <si>
    <t>Response Trend</t>
  </si>
  <si>
    <t>Column Range:</t>
  </si>
  <si>
    <t>-</t>
  </si>
  <si>
    <t>Increasing Count</t>
  </si>
  <si>
    <t>Decreasing Count</t>
  </si>
  <si>
    <t>Exponential CV</t>
  </si>
  <si>
    <t>Hill CV</t>
  </si>
  <si>
    <t>Linear CV</t>
  </si>
  <si>
    <t>Power CV</t>
  </si>
  <si>
    <t>ExpCV</t>
  </si>
  <si>
    <t>HillCV</t>
  </si>
  <si>
    <t>LinearCV</t>
  </si>
  <si>
    <t>PowerCV</t>
  </si>
  <si>
    <t>Exponential NCV</t>
  </si>
  <si>
    <t>Hill NCV</t>
  </si>
  <si>
    <t>Linear NCV</t>
  </si>
  <si>
    <t>Power NCV</t>
  </si>
  <si>
    <t>ExpNCV</t>
  </si>
  <si>
    <t>HillNCV</t>
  </si>
  <si>
    <t>LinearNCV</t>
  </si>
  <si>
    <t>PowerNCV</t>
  </si>
  <si>
    <t>BMR File Notation</t>
  </si>
  <si>
    <t>SD</t>
  </si>
  <si>
    <t>AD</t>
  </si>
  <si>
    <t>Filename Notation</t>
  </si>
  <si>
    <t>Alternative: Gamma-BgDose</t>
  </si>
  <si>
    <t>Alternative: Logistic-BgResponse</t>
  </si>
  <si>
    <t>Alternative: LogProbit_BgDose</t>
  </si>
  <si>
    <t>Alternative: Multistage-BgDose</t>
  </si>
  <si>
    <t>Alternative: MultistageCancer-BgDose</t>
  </si>
  <si>
    <t>Alternative: Probit-BgResponse</t>
  </si>
  <si>
    <t>Alternative: Weibull-BgDose</t>
  </si>
  <si>
    <t>Continous</t>
  </si>
  <si>
    <t>Minor Excel Bug: Ensure that the zoom is exactly 100% on this worksheet, or you might get a "Not Enough System Resources" error on the Main worksheet combo box</t>
  </si>
  <si>
    <t>Model Type (BMDS Wizard)</t>
  </si>
  <si>
    <t>Required DG (BMDS Wizard)</t>
  </si>
  <si>
    <t>Maximum Characters</t>
  </si>
  <si>
    <t>Spaces Allowed in Filenames?</t>
  </si>
  <si>
    <t>BMDS Model Version</t>
  </si>
  <si>
    <t>BMDS EXE Filename</t>
  </si>
  <si>
    <t>BMDS Window Title 
(for Autorun EXE)</t>
  </si>
  <si>
    <t>Options and Settings</t>
  </si>
  <si>
    <t>BMDS Version Settings</t>
  </si>
  <si>
    <t>BMDS Option Filename</t>
  </si>
  <si>
    <t>Visible or Hide on Main</t>
  </si>
  <si>
    <t>Visible</t>
  </si>
  <si>
    <t>Hidden</t>
  </si>
  <si>
    <t>Visible or Hidden</t>
  </si>
  <si>
    <t>BMDS Model Option File</t>
  </si>
  <si>
    <t>Setting</t>
  </si>
  <si>
    <t>Input Data Validation Lists</t>
  </si>
  <si>
    <t>BMDS Model Option Setups:</t>
  </si>
  <si>
    <t>Row on "Main" Worksheet</t>
  </si>
  <si>
    <t>BMDS Word Space</t>
  </si>
  <si>
    <t>_</t>
  </si>
  <si>
    <t>Column Type Assignment</t>
  </si>
  <si>
    <t>Column Name in BMDS</t>
  </si>
  <si>
    <t>BMDU</t>
  </si>
  <si>
    <t>Cancer Slope Factor</t>
  </si>
  <si>
    <t>F-test</t>
  </si>
  <si>
    <t>Parameter Summary</t>
  </si>
  <si>
    <t>BMDS Wizard Recommendation</t>
  </si>
  <si>
    <t>BMDS Wizard Recommendation Notes</t>
  </si>
  <si>
    <t>BMDS EMF image scaling</t>
  </si>
  <si>
    <t>Beta(6)</t>
  </si>
  <si>
    <t>Beta(7)</t>
  </si>
  <si>
    <t>Beta(8)</t>
  </si>
  <si>
    <t>Model:</t>
  </si>
  <si>
    <t>Model Type and Form</t>
  </si>
  <si>
    <t>Form</t>
  </si>
  <si>
    <t>Exponential (M2)</t>
  </si>
  <si>
    <t>Y[dose] = a * exp{sign * b * dose}</t>
  </si>
  <si>
    <t>Exponential (M3)</t>
  </si>
  <si>
    <t>Exponential (M4)</t>
  </si>
  <si>
    <t>Exponential (M5)</t>
  </si>
  <si>
    <t>Y[dose] = a * exp{sign * (b * dose)^d}</t>
  </si>
  <si>
    <t>Y[dose] = a * [c-(c-1) * exp{-b * dose}]</t>
  </si>
  <si>
    <t>Y[dose] = a * [c-(c-1) * exp{-(b * dose)^d}]</t>
  </si>
  <si>
    <t>P[response]= background+(1-background)*CumGamma[slope*dose,power], where CumGamma(.) is the cummulative Gamma distribution function</t>
  </si>
  <si>
    <t>Y[dose] = control + slope * dose^power</t>
  </si>
  <si>
    <t>Y[dose] = beta_0 + beta_1*dose + beta_2*dose^2 + …</t>
  </si>
  <si>
    <t xml:space="preserve">Y[dose] = beta_0 + beta_1*dose </t>
  </si>
  <si>
    <t>Y[dose] = intercept + v*dose^n/(k^n + dose^n)</t>
  </si>
  <si>
    <t>P[response] = v*g +(v-v*g)/[1+EXP(-intercept-slope*Log(dose))]</t>
  </si>
  <si>
    <t>P[response] = background+(1-background)/[1+EXP(-intercept-slope*Log(dose))]</t>
  </si>
  <si>
    <t>P[response] = Background + (1-Background) * CumNorm(Intercept+Slope*Log(Dose)),where CumNorm(.) is the cumulative normal distribution function</t>
  </si>
  <si>
    <t>P[response] = background + (1-background)*[1-EXP(-beta1*dose^1-beta2*dose^2...)]</t>
  </si>
  <si>
    <t>P[response] = background + (1-background)*[1-EXP(-slope*dose^power)]</t>
  </si>
  <si>
    <t>P[response] = 1/[1+EXP(-intercept-slope*dose)]</t>
  </si>
  <si>
    <t>P[response] = CumNorm(Intercept+Slope*Dose), where CumNorm(.) is the cumulative normal distribution function</t>
  </si>
  <si>
    <t>P[response] = background + (1-background)*[1-EXP(-slope*dose)]</t>
  </si>
  <si>
    <t>Model Warnings</t>
  </si>
  <si>
    <t>Dose Group 1</t>
  </si>
  <si>
    <t>Dose Group 2</t>
  </si>
  <si>
    <t>Dose Group 3</t>
  </si>
  <si>
    <t>Dose Group 4</t>
  </si>
  <si>
    <t>Dose Group 5</t>
  </si>
  <si>
    <t>Dose Group 6</t>
  </si>
  <si>
    <t>Dose Group 7</t>
  </si>
  <si>
    <t>Dose Group 8</t>
  </si>
  <si>
    <t>Dose Group 9</t>
  </si>
  <si>
    <t>Dose Group 10</t>
  </si>
  <si>
    <t>Dose Group 11</t>
  </si>
  <si>
    <t>Dose Group 12</t>
  </si>
  <si>
    <t>Dose Group 13</t>
  </si>
  <si>
    <t>Dose Group 14</t>
  </si>
  <si>
    <t>Dose Group 15</t>
  </si>
  <si>
    <t>Dose Group 16</t>
  </si>
  <si>
    <t>Dose Group 17</t>
  </si>
  <si>
    <t>Dose Group 18</t>
  </si>
  <si>
    <t>Dose Group 19</t>
  </si>
  <si>
    <t>Dose Group 20</t>
  </si>
  <si>
    <t>Dose Group 21</t>
  </si>
  <si>
    <t>Dose Group 22</t>
  </si>
  <si>
    <t>Dose Group 23</t>
  </si>
  <si>
    <t>Dose Group 24</t>
  </si>
  <si>
    <t>Dose Group 25</t>
  </si>
  <si>
    <t>Notes (included in BMDS output)</t>
  </si>
  <si>
    <t>Notes and Calculations from Dose-Response Data</t>
  </si>
  <si>
    <t>Data Trend (continuous only)</t>
  </si>
  <si>
    <t>Number of 
Dose Groups</t>
  </si>
  <si>
    <t>Modeled to Actual Std Dev. At Control</t>
  </si>
  <si>
    <t>Parameter Hit Bound?</t>
  </si>
  <si>
    <t>BMDS Model Warnings</t>
  </si>
  <si>
    <t>BMDS output file included warning</t>
  </si>
  <si>
    <t>Model OUT and EMF file archive</t>
  </si>
  <si>
    <t>Embed BMDS Output (EMF and OUT)</t>
  </si>
  <si>
    <t>BMDS timeout (seconds)</t>
  </si>
  <si>
    <t>Model Selection</t>
  </si>
  <si>
    <t>Current BMR</t>
  </si>
  <si>
    <t>BMR Name</t>
  </si>
  <si>
    <t>BMR Notation</t>
  </si>
  <si>
    <t>Current BMRF</t>
  </si>
  <si>
    <t>%</t>
  </si>
  <si>
    <t>%Added</t>
  </si>
  <si>
    <t>Sort by Summary Table by Increasing BMDL</t>
  </si>
  <si>
    <t>"Smart Hide" results columns depending on dataset type</t>
  </si>
  <si>
    <t>EMF Name</t>
  </si>
  <si>
    <t>Type</t>
  </si>
  <si>
    <t>Force Viable</t>
  </si>
  <si>
    <t>Force Questionable</t>
  </si>
  <si>
    <t>Force Unusable</t>
  </si>
  <si>
    <t>Select</t>
  </si>
  <si>
    <t>Include</t>
  </si>
  <si>
    <t>Don't Include</t>
  </si>
  <si>
    <t>User Overrides</t>
  </si>
  <si>
    <t>Correct Variance Model?</t>
  </si>
  <si>
    <t>Results Table</t>
  </si>
  <si>
    <t>Template Directory</t>
  </si>
  <si>
    <t>Template Filename</t>
  </si>
  <si>
    <t>docx</t>
  </si>
  <si>
    <t>.docx</t>
  </si>
  <si>
    <t>.doc</t>
  </si>
  <si>
    <t>.docm</t>
  </si>
  <si>
    <t>Valid Word Extensions</t>
  </si>
  <si>
    <t>BMDS Wizard Report Template.dotx</t>
  </si>
  <si>
    <t>Report Output Directory</t>
  </si>
  <si>
    <t>Report Filename
(no extension)</t>
  </si>
  <si>
    <t>Report Extension</t>
  </si>
  <si>
    <t>Output Options</t>
  </si>
  <si>
    <t>"Smart Hide" incorrect variance model</t>
  </si>
  <si>
    <t>Move Selected Row to Top of Summary Table</t>
  </si>
  <si>
    <t>BMD or BMC Calculated?</t>
  </si>
  <si>
    <t xml:space="preserve">Select Dataset Type: </t>
  </si>
  <si>
    <t>BMDS Smart Name</t>
  </si>
  <si>
    <t>BMDS Raw Name</t>
  </si>
  <si>
    <t>Viable</t>
  </si>
  <si>
    <t>Questionable</t>
  </si>
  <si>
    <t>Unusable</t>
  </si>
  <si>
    <t>BMDS Wizard Bin Placement</t>
  </si>
  <si>
    <t>Print DRAGON report</t>
  </si>
  <si>
    <t>Dose Units:</t>
  </si>
  <si>
    <t>BMD ID Number:</t>
  </si>
  <si>
    <t>P[response] = background+(1-background)/[1+EXP(-intercept-slope*dose)]</t>
  </si>
  <si>
    <t>P[response] =  CumNorm(Intercept+Slope*Log(Dose + Background)), where CumNorm(.) is the cumulative normal distribution function</t>
  </si>
  <si>
    <t>P[response] = Background + (1-Background) * CumNorm(Intercept+Slope*Dose), where CumNorm(.) is the cumulative normal distribution function</t>
  </si>
  <si>
    <t>P[response] = [1-EXP(-slope*(dose+background)^power)]</t>
  </si>
  <si>
    <t>P[response] = [1-EXP(-beta1*(dose + alpha)^1-beta2*(dose+alpha)^2-beta3*(dose+alpha)^3+...)]</t>
  </si>
  <si>
    <t>β1  = 0</t>
  </si>
  <si>
    <t>β2  = 0</t>
  </si>
  <si>
    <t>β3  = 0</t>
  </si>
  <si>
    <t>β4  = 0</t>
  </si>
  <si>
    <t>β5  = 0</t>
  </si>
  <si>
    <t>β6  = 0</t>
  </si>
  <si>
    <t>β7  = 0</t>
  </si>
  <si>
    <t>β8  = 0</t>
  </si>
  <si>
    <t>Generated by Wizard Macro</t>
  </si>
  <si>
    <t>OUT File</t>
  </si>
  <si>
    <t>Model Type (comment includes graph)</t>
  </si>
  <si>
    <t>Chi2</t>
  </si>
  <si>
    <t>Input file for Auto It</t>
  </si>
  <si>
    <t>BMDS_Session.txt</t>
  </si>
  <si>
    <t>BMDS Autorun Method</t>
  </si>
  <si>
    <t>BMDSAutoRun.exe</t>
  </si>
  <si>
    <t>bmdsman.exe</t>
  </si>
  <si>
    <t>RD</t>
  </si>
  <si>
    <t>BMR Multiplier</t>
  </si>
  <si>
    <t>C:\USEPA\BMDS220\</t>
  </si>
  <si>
    <t>BMDS 2.2 [Build: 09/02/2011]</t>
  </si>
  <si>
    <t>Change formula bar height on startup?</t>
  </si>
  <si>
    <t>Default formula bar height (if changed)</t>
  </si>
  <si>
    <t>BMDS Autorun Filename</t>
  </si>
  <si>
    <t>BMDS 2.2 [Build 09/02/2011]</t>
  </si>
  <si>
    <t>BMDS 2.2 [Build 12/08/2011]</t>
  </si>
  <si>
    <t>BMDS 2.2 [Build: 12/08/2011]</t>
  </si>
  <si>
    <t>C:\USEPA\Wizard\Templates\</t>
  </si>
  <si>
    <t>DEBUG mode on</t>
  </si>
  <si>
    <t>DRAGON report filename</t>
  </si>
  <si>
    <t>Report.docx</t>
  </si>
  <si>
    <t>Summary Report</t>
  </si>
  <si>
    <t>Print Selected Model</t>
  </si>
  <si>
    <t xml:space="preserve">Print Included Model </t>
  </si>
  <si>
    <t>Print BMDS Summary Table</t>
  </si>
  <si>
    <t>Show Report Being Created</t>
  </si>
  <si>
    <t>BMDS Reporting</t>
  </si>
  <si>
    <t>Print BMDS Figure</t>
  </si>
  <si>
    <t>Print BMDS Output File</t>
  </si>
  <si>
    <t>Template Location</t>
  </si>
  <si>
    <t>Output Word Report Location</t>
  </si>
  <si>
    <t>BMDS Figure Settings</t>
  </si>
  <si>
    <t>Figure Width in Report (in)</t>
  </si>
  <si>
    <t>Figure Height in Report (in)</t>
  </si>
  <si>
    <t>Basis for Model Selection</t>
  </si>
  <si>
    <t>Back to Results</t>
  </si>
  <si>
    <t>Back to Main</t>
  </si>
  <si>
    <t>BMD lower than lowest dose (warning)</t>
  </si>
  <si>
    <t>BMDL lower than lowest dose (warning)</t>
  </si>
  <si>
    <t>BMD lower than lowest dose (serious)</t>
  </si>
  <si>
    <t>BMDL lower than lowest dose (serious)</t>
  </si>
  <si>
    <t>Preloaded Text</t>
  </si>
  <si>
    <t>No models provided an adequate fit and a valid BMDL estimate, therefore no model was selected.</t>
  </si>
  <si>
    <t>P[response]= CumGamma[slope*(dose+background),power], where CumGamma(.) is the cumulative Gamma distribution function</t>
  </si>
  <si>
    <t>Questionable Bin</t>
  </si>
  <si>
    <t>Exposure Type</t>
  </si>
  <si>
    <t>Of the models that provided an adequate fit and a valid BMDL estimate, the &lt;model name&gt; model was selected based on lowest AIC.</t>
  </si>
  <si>
    <t>Of the models that provided an adequate fit and a valid BMDL estimate, the &lt;model name&gt; model was selected based on lowest BMDL (BMDLs differed by more than 3).</t>
  </si>
  <si>
    <t>d.f. equals 0</t>
  </si>
  <si>
    <t>NA</t>
  </si>
  <si>
    <t>d.f.=0, saturated model (p-test 4 cannot be calculated)</t>
  </si>
  <si>
    <t>BMDS 2.3.1</t>
  </si>
  <si>
    <t>C:\USEPA\BMDS231\</t>
  </si>
  <si>
    <t>BMDS 2.3.1 [Build: 09/27/2012]</t>
  </si>
  <si>
    <t>BMDS231.exe</t>
  </si>
  <si>
    <t>DB Location</t>
  </si>
  <si>
    <t>Dose Response ID</t>
  </si>
  <si>
    <t>C:\Users\Andy\Desktop\tofile\EPA_MOA_DatabaseOnly_103012.mdb</t>
  </si>
  <si>
    <t>Click here to enter data</t>
  </si>
  <si>
    <t>CTV Process</t>
  </si>
  <si>
    <t>C:\Temp\hawc\bmd test cases</t>
  </si>
  <si>
    <t>dichotomous</t>
  </si>
  <si>
    <t>tc</t>
  </si>
  <si>
    <t>mkd</t>
  </si>
  <si>
    <t>1-dichotomous-tc-Gamma-10%.out</t>
  </si>
  <si>
    <t>View Output</t>
  </si>
  <si>
    <t>error</t>
  </si>
  <si>
    <t>1-dichotomous-tc-DichHill-10%.out</t>
  </si>
  <si>
    <t>1-dichotomous-tc-LogLogistic-10%.out</t>
  </si>
  <si>
    <t>1-dichotomous-tc-Logistic-10%.out</t>
  </si>
  <si>
    <t>1-dichotomous-tc-Probit-10%.out</t>
  </si>
  <si>
    <t>1-dichotomous-tc-LogProbit-10%.out</t>
  </si>
  <si>
    <t>1-dichotomous-tc-Weibull-10%.out</t>
  </si>
  <si>
    <t>1-dichotomous-tc-Multi3-10%.out</t>
  </si>
  <si>
    <t>Multistage 3°</t>
  </si>
  <si>
    <t>1-dichotomous-tc-Multi2-10%.out</t>
  </si>
  <si>
    <t>Multistage 2°</t>
  </si>
  <si>
    <t>1-dichotomous-tc-Multi1-10%.out</t>
  </si>
  <si>
    <t>Multistage 1°</t>
  </si>
  <si>
    <t>C:\Temp\hawc\bmd test cases\1-dichotomous-tc-Gamma-10%.emf</t>
  </si>
  <si>
    <t>EMF9</t>
  </si>
  <si>
    <t>C:\Temp\hawc\bmd test cases\1-dichotomous-tc-DichHill-10%.emf</t>
  </si>
  <si>
    <t>EMF10</t>
  </si>
  <si>
    <t>C:\Temp\hawc\bmd test cases\1-dichotomous-tc-LogLogistic-10%.emf</t>
  </si>
  <si>
    <t>EMF11</t>
  </si>
  <si>
    <t>C:\Temp\hawc\bmd test cases\1-dichotomous-tc-Logistic-10%.emf</t>
  </si>
  <si>
    <t>EMF12</t>
  </si>
  <si>
    <t>C:\Temp\hawc\bmd test cases\1-dichotomous-tc-Probit-10%.emf</t>
  </si>
  <si>
    <t>EMF13</t>
  </si>
  <si>
    <t>C:\Temp\hawc\bmd test cases\1-dichotomous-tc-LogProbit-10%.emf</t>
  </si>
  <si>
    <t>EMF14</t>
  </si>
  <si>
    <t>C:\Temp\hawc\bmd test cases\1-dichotomous-tc-Weibull-10%.emf</t>
  </si>
  <si>
    <t>EMF15</t>
  </si>
  <si>
    <t>EMF16</t>
  </si>
  <si>
    <t>C:\Temp\hawc\bmd test cases\1-dichotomous-tc-Multi3-10%.emf</t>
  </si>
  <si>
    <t>EMF17</t>
  </si>
  <si>
    <t>C:\Temp\hawc\bmd test cases\1-dichotomous-tc-Multi2-10%.emf</t>
  </si>
  <si>
    <t>EMF18</t>
  </si>
  <si>
    <t>C:\Temp\hawc\bmd test cases\1-dichotomous-tc-Multi1-10%.emf</t>
  </si>
  <si>
    <t>Alternate</t>
  </si>
  <si>
    <t>Recommended (lowest AIC)</t>
  </si>
  <si>
    <t>Main!M</t>
  </si>
  <si>
    <t>P[response]= background+(1-background)*CumGamma[slope*dose,power], where CumGamma(.) is the cummulative Gamma distribution function_x000D_
Background = 0.0686732_x000D_
Slope = 0.00118448_x000D_
Power = 1
hit bound (power = 1)</t>
  </si>
  <si>
    <t>P[response] = v*g +(v-v*g)/[1+EXP(-intercept-slope*Log(dose))]_x000D_
v = 0.505535_x000D_
g = 0.0996629_x000D_
intercept = -5.22002_x000D_
slope = 1</t>
  </si>
  <si>
    <t>P[response] = background+(1-background)/[1+EXP(-intercept-slope*Log(dose))]_x000D_
background = 0.0616761_x000D_
intercept = -6.52062_x000D_
slope = 1
hit bound (slope = 1)</t>
  </si>
  <si>
    <t>P[response] = 1/[1+EXP(-intercept-slope*dose)]_x000D_
intercept = -2.16112_x000D_
slope = 0.00476052</t>
  </si>
  <si>
    <t>P[response] = CumNorm(Intercept+Slope*Dose), where CumNorm(.) is the cumulative normal distribution function_x000D_
intercept = -1.28666_x000D_
slope = 0.00280672</t>
  </si>
  <si>
    <t>P[response] = Background + (1-Background) * CumNorm(Intercept+Slope*Log(Dose)),where CumNorm(.) is the cumulative normal distribution function_x000D_
background = 0.10422_x000D_
intercept = -6.30176_x000D_
slope = 1
hit bound (slope = 1)</t>
  </si>
  <si>
    <t>P[response] = background + (1-background)*[1-EXP(-slope*dose^power)]_x000D_
Background = 0.0686704_x000D_
Slope = 0.00118448_x000D_
Power = 1
hit bound (power = 1)</t>
  </si>
  <si>
    <t>P[response] = background + (1-background)*[1-EXP(-beta1*dose^1-beta2*dose^2...)]_x000D_
Background = 0.0686703_x000D_
Beta(1) = 0.00118448_x000D_
Beta(2) = 0_x000D_
Beta(3) = 0
β2  = 0
β3  = 0
Maximum beta = 0 (AIC calculation affected)</t>
  </si>
  <si>
    <t>P[response] = background + (1-background)*[1-EXP(-beta1*dose^1-beta2*dose^2...)]_x000D_
Background = 0.0686703_x000D_
Beta(1) = 0.00118448_x000D_
Beta(2) = 0
β2  = 0
Maximum beta = 0 (AIC calculation affected)</t>
  </si>
  <si>
    <t>P[response] = background + (1-background)*[1-EXP(-beta1*dose^1-beta2*dose^2...)]_x000D_
Background = 0.0686704_x000D_
Beta(1) = 0.00118448</t>
  </si>
  <si>
    <t xml:space="preserve">_x000D_
_x000D_
 ==================================================================== _x000D_
   	  Gamma Model. (Version: 2.15;  Date: 10/28/2009) _x000D_
  	  Input Data File: C:/Temp/hawc/bmd test cases/1-dichotomous-tc-Gamma-10%.(d)  _x000D_
  	  Gnuplot Plotting File:  C:/Temp/hawc/bmd test cases/1-dichotomous-tc-Gamma-10%.plt_x000D_
 							Fri Jan 25 00:03:25 2013_x000D_
 ==================================================================== _x000D_
_x000D_
 BMDS_Model_Run _x000D_
~~~~~~~~~~~~~~~~~~~~~~~~~~~~~~~~~~~~~~~~~~~~~~~~~~~~~~~~~~~~~~~~~~~~~_x000D_
 _x000D_
   The form of the probability function is: _x000D_
_x000D_
   P[response]= background+(1-background)*CumGamma[slope*dose,power],_x000D_
   where CumGamma(.) is the cummulative Gamma distribution function_x000D_
_x000D_
_x000D_
   Dependent variable = Incidence_x000D_
   Independent variable = Dose_x000D_
   Power parameter is restricted as power &gt;=1_x000D_
_x000D_
   Total number of observations = 4_x000D_
   Total number of records with missing values = 0_x000D_
   Maximum number of iterations = 250_x000D_
   Relative Function Convergence has been set to: 1e-008_x000D_
   Parameter Convergence has been set to: 1e-008_x000D_
_x000D_
_x000D_
_x000D_
                  Default Initial (and Specified) Parameter Values  _x000D_
                     Background =    0.0909091_x000D_
                          Slope =   0.00296965_x000D_
                          Power =          1.3_x000D_
_x000D_
_x000D_
           Asymptotic Correlation Matrix of Parameter Estimates_x000D_
_x000D_
           ( *** The model parameter(s)  -Power   _x000D_
                 have been estimated at a boundary point, or have been specified by the user,_x000D_
                 and do not appear in the correlation matrix )_x000D_
_x000D_
             Background        Slope_x000D_
_x000D_
Background            1        -0.59_x000D_
_x000D_
     Slope        -0.59            1_x000D_
_x000D_
_x000D_
_x000D_
                                 Parameter Estimates_x000D_
_x000D_
                                                         95.0% Wald Confidence Interval_x000D_
       Variable         Estimate        Std. Err.     Lower Conf. Limit   Upper Conf. Limit_x000D_
     Background        0.0686732        0.0522795          -0.0337928            0.171139_x000D_
          Slope       0.00118448      0.000511809         0.000181355          0.00218761_x000D_
          Power                1               NA_x000D_
_x000D_
NA - Indicates that this parameter has hit a bound_x000D_
     implied by some inequality constraint and thus_x000D_
     has no standard error._x000D_
_x000D_
_x000D_
_x000D_
                        Analysis of Deviance Table_x000D_
_x000D_
       Model      Log(likelihood)  # Param's  Deviance  Test d.f.   P-value_x000D_
     Full model        -36.6201         4_x000D_
   Fitted model        -36.8492         2      0.458074      2          0.7953_x000D_
  Reduced model        -40.0322         1       6.82414      3         0.07772_x000D_
_x000D_
           AIC:         77.6983_x000D_
_x000D_
_x000D_
                                  Goodness  of  Fit _x000D_
                                                                 Scaled_x000D_
     Dose     Est._Prob.    Expected    Observed     Size       Residual_x000D_
  ------------------------------------------------------------------------_x000D_
    0.0000     0.0687         1.373     1.000          20       -0.330_x000D_
   50.0000     0.1222         2.445     3.000          20        0.379_x000D_
  150.0000     0.2203         4.406     5.000          20        0.321_x000D_
  350.0000     0.3847         7.695     7.000          20       -0.319_x000D_
_x000D_
 Chi^2 = 0.46      d.f. = 2        P-value = 0.7955_x000D_
_x000D_
_x000D_
   Benchmark Dose Computation_x000D_
_x000D_
Specified effect =            0.1_x000D_
_x000D_
Risk Type        =      Extra risk _x000D_
_x000D_
Confidence level =           0.95_x000D_
_x000D_
             BMD =        88.9507_x000D_
_x000D_
            BMDL =       50.4128_x000D_
_x000D_
</t>
  </si>
  <si>
    <t>_x000D_
_x000D_
 ==================================================================== _x000D_
   	  Dichotomous Hill Model. (Version: 1.2; Date: 08/05/2011) _x000D_
  	  Input Data File: C:/Temp/hawc/bmd test cases/1-dichotomous-tc-DichHill-10%.(d)  _x000D_
  	  Gnuplot Plotting File:  C:/Temp/hawc/bmd test cases/1-dichotomous-tc-DichHill-10%.plt_x000D_
 							Fri Jan 25 00:03:25 2013_x000D_
 ==================================================================== _x000D_
_x000D_
 BMDS_Model_Run _x000D_
~~~~~~~~~~~~~~~~~~~~~~~~~~~~~~~~~~~~~~~~~~~~~~~~~~~~~~~~~~~~~~~~~~~~~_x000D_
 _x000D_
   The form of the probability function is: _x000D_
_x000D_
   P[response] = v*g +(v-v*g)/[1+EXP(-intercept-slope*Log(dose))]_x000D_
_x000D_
        where: 0 &lt;= g &lt; 1, 0 &lt; v &lt;= 1_x000D_
_x000D_
               v is the maximum probability of response predicted by the model,_x000D_
_x000D_
               and v*g is the background estimate of that probability._x000D_
_x000D_
_x000D_
   Dependent variable = Incidence_x000D_
   Independent variable = Dose_x000D_
   Slope parameter is restricted as slope &gt;= 1_x000D_
_x000D_
   Total number of observations = 4_x000D_
   Total number of records with missing values = 0_x000D_
   Maximum number of iterations = 250_x000D_
   Relative Function Convergence has been set to: 1e-008_x000D_
   Parameter Convergence has been set to: 1e-008_x000D_
_x000D_
_x000D_
_x000D_
                  Default Initial Parameter Values  _x000D_
                              v =            1_x000D_
                              g =         0.05_x000D_
                      intercept =     -6.40884_x000D_
                          slope =            1_x000D_
_x000D_
_x000D_
           Asymptotic Correlation Matrix of Parameter Estimates_x000D_
_x000D_
           ( *** The model parameter(s)  -slope   _x000D_
                 have been estimated at a boundary point, or have been specified by the user,_x000D_
                 and do not appear in the correlation matrix )_x000D_
_x000D_
                      v            g    intercept_x000D_
_x000D_
         v            1        -0.55        -0.95_x000D_
_x000D_
         g        -0.55            1         0.39_x000D_
_x000D_
 intercept        -0.95         0.39            1_x000D_
_x000D_
_x000D_
_x000D_
                                 Parameter Estimates_x000D_
_x000D_
                                                         95.0% Wald Confidence Interval_x000D_
       Variable         Estimate        Std. Err.     Lower Conf. Limit   Upper Conf. Limit_x000D_
              v         0.505535         0.415813           -0.309443             1.32051_x000D_
              g        0.0996629          0.11253           -0.120891            0.320217_x000D_
      intercept         -5.22002          1.96992            -9.08099            -1.35905_x000D_
          slope                1               NA_x000D_
_x000D_
NA - Indicates that this parameter has hit a bound_x000D_
     implied by some inequality constraint and thus_x000D_
     has no standard error._x000D_
_x000D_
_x000D_
_x000D_
                        Analysis of Deviance Table_x000D_
_x000D_
       Model      Log(likelihood)  # Param's  Deviance  Test d.f.   P-value_x000D_
     Full model        -36.6201         4_x000D_
   Fitted model        -36.6218         3    0.00343751      1          0.9532_x000D_
  Reduced model        -40.0322         1       6.82414      3         0.07772_x000D_
_x000D_
           AIC:         79.2437_x000D_
_x000D_
_x000D_
                                  Goodness  of  Fit _x000D_
                                                                 Scaled_x000D_
     Dose     Est._Prob.    Expected    Observed     Size       Residual_x000D_
  ------------------------------------------------------------------------_x000D_
    0.0000     0.0504         1.008     1.000          20       -0.008_x000D_
   50.0000     0.1472         2.945     3.000          20        0.035_x000D_
  150.0000     0.2542         5.084     5.000          20       -0.043_x000D_
  350.0000     0.3482         6.964     7.000          20        0.017_x000D_
_x000D_
 Chi^2 = 0.00      d.f. = 1        P-value = 0.9533_x000D_
_x000D_
_x000D_
   Benchmark Dose Computation_x000D_
_x000D_
Specified effect =            0.1_x000D_
_x000D_
Risk Type        =      Extra risk _x000D_
_x000D_
Confidence level =           0.95_x000D_
_x000D_
             BMD =        48.7578_x000D_
_x000D_
           Benchmark dose computation failed.  Lower limit includes zero.</t>
  </si>
  <si>
    <t xml:space="preserve">_x000D_
_x000D_
 ==================================================================== _x000D_
   	  Logistic Model. (Version: 2.13; Date: 10/28/2009) _x000D_
  	  Input Data File: C:/Temp/hawc/bmd test cases/1-dichotomous-tc-LogLogistic-10%.(d)  _x000D_
  	  Gnuplot Plotting File:  C:/Temp/hawc/bmd test cases/1-dichotomous-tc-LogLogistic-10%.plt_x000D_
 							Fri Jan 25 00:03:25 2013_x000D_
 ==================================================================== _x000D_
_x000D_
 BMDS_Model_Run _x000D_
~~~~~~~~~~~~~~~~~~~~~~~~~~~~~~~~~~~~~~~~~~~~~~~~~~~~~~~~~~~~~~~~~~~~~_x000D_
 _x000D_
   The form of the probability function is: _x000D_
_x000D_
   P[response] = background+(1-background)/[1+EXP(-intercept-slope*Log(dose))]_x000D_
_x000D_
_x000D_
   Dependent variable = Incidence_x000D_
   Independent variable = Dose_x000D_
   Slope parameter is restricted as slope &gt;= 1_x000D_
_x000D_
   Total number of observations = 4_x000D_
   Total number of records with missing values = 0_x000D_
   Maximum number of iterations = 250_x000D_
   Relative Function Convergence has been set to: 1e-008_x000D_
   Parameter Convergence has been set to: 1e-008_x000D_
_x000D_
_x000D_
_x000D_
   User has chosen the log transformed model_x000D_
_x000D_
_x000D_
                  Default Initial Parameter Values  _x000D_
                     background =         0.05_x000D_
                      intercept =     -6.40884_x000D_
                          slope =            1_x000D_
_x000D_
_x000D_
           Asymptotic Correlation Matrix of Parameter Estimates_x000D_
_x000D_
           ( *** The model parameter(s)  -slope   _x000D_
                 have been estimated at a boundary point, or have been specified by the user,_x000D_
                 and do not appear in the correlation matrix )_x000D_
_x000D_
             background    intercept_x000D_
_x000D_
background            1         -0.6_x000D_
_x000D_
 intercept         -0.6            1_x000D_
_x000D_
_x000D_
_x000D_
                                 Parameter Estimates_x000D_
_x000D_
                                                         95.0% Wald Confidence Interval_x000D_
       Variable         Estimate        Std. Err.     Lower Conf. Limit   Upper Conf. Limit_x000D_
     background        0.0616761            *                *                  *_x000D_
      intercept         -6.52062            *                *                  *_x000D_
          slope                1            *                *                  *_x000D_
_x000D_
* - Indicates that this value is not calculated._x000D_
_x000D_
_x000D_
_x000D_
                        Analysis of Deviance Table_x000D_
_x000D_
       Model      Log(likelihood)  # Param's  Deviance  Test d.f.   P-value_x000D_
     Full model        -36.6201         4_x000D_
   Fitted model        -36.7545         2      0.268841      2          0.8742_x000D_
  Reduced model        -40.0322         1       6.82414      3         0.07772_x000D_
_x000D_
           AIC:         77.5091_x000D_
_x000D_
_x000D_
                                  Goodness  of  Fit _x000D_
                                                                 Scaled_x000D_
     Dose     Est._Prob.    Expected    Observed     Size       Residual_x000D_
  ------------------------------------------------------------------------_x000D_
    0.0000     0.0617         1.234     1.000          20       -0.217_x000D_
   50.0000     0.1260         2.521     3.000          20        0.323_x000D_
  150.0000     0.2315         4.629     5.000          20        0.197_x000D_
  350.0000     0.3808         7.617     7.000          20       -0.284_x000D_
_x000D_
 Chi^2 = 0.27      d.f. = 2        P-value = 0.8734_x000D_
_x000D_
_x000D_
   Benchmark Dose Computation_x000D_
_x000D_
Specified effect =            0.1_x000D_
_x000D_
Risk Type        =      Extra risk _x000D_
_x000D_
Confidence level =           0.95_x000D_
_x000D_
             BMD =        75.4444_x000D_
_x000D_
            BMDL =        38.6431_x000D_
_x000D_
</t>
  </si>
  <si>
    <t xml:space="preserve">_x000D_
_x000D_
 ==================================================================== _x000D_
   	  Logistic Model. (Version: 2.13; Date: 10/28/2009) _x000D_
  	  Input Data File: C:/Temp/hawc/bmd test cases/1-dichotomous-tc-Logistic-10%.(d)  _x000D_
  	  Gnuplot Plotting File:  C:/Temp/hawc/bmd test cases/1-dichotomous-tc-Logistic-10%.plt_x000D_
 							Fri Jan 25 00:03:26 2013_x000D_
 ==================================================================== _x000D_
_x000D_
 BMDS_Model_Run _x000D_
~~~~~~~~~~~~~~~~~~~~~~~~~~~~~~~~~~~~~~~~~~~~~~~~~~~~~~~~~~~~~~~~~~~~~_x000D_
 _x000D_
   The form of the probability function is: _x000D_
_x000D_
   P[response] = 1/[1+EXP(-intercept-slope*dose)]_x000D_
_x000D_
_x000D_
   Dependent variable = Incidence_x000D_
   Independent variable = Dose_x000D_
   Slope parameter is not restricted_x000D_
_x000D_
   Total number of observations = 4_x000D_
   Total number of records with missing values = 0_x000D_
   Maximum number of iterations = 250_x000D_
   Relative Function Convergence has been set to: 1e-008_x000D_
   Parameter Convergence has been set to: 1e-008_x000D_
_x000D_
_x000D_
_x000D_
                  Default Initial Parameter Values  _x000D_
                     background =            0   Specified_x000D_
                      intercept =     -2.12994_x000D_
                          slope =   0.00494818_x000D_
_x000D_
_x000D_
           Asymptotic Correlation Matrix of Parameter Estimates_x000D_
_x000D_
           ( *** The model parameter(s)  -background   _x000D_
                 have been estimated at a boundary point, or have been specified by the user,_x000D_
                 and do not appear in the correlation matrix )_x000D_
_x000D_
              intercept        slope_x000D_
_x000D_
 intercept            1         -0.8_x000D_
_x000D_
     slope         -0.8            1_x000D_
_x000D_
_x000D_
_x000D_
                                 Parameter Estimates_x000D_
_x000D_
                                                         95.0% Wald Confidence Interval_x000D_
       Variable         Estimate        Std. Err.     Lower Conf. Limit   Upper Conf. Limit_x000D_
      intercept         -2.16112         0.482485            -3.10678            -1.21547_x000D_
          slope       0.00476052       0.00205934         0.000724288          0.00879675_x000D_
_x000D_
_x000D_
_x000D_
                        Analysis of Deviance Table_x000D_
_x000D_
       Model      Log(likelihood)  # Param's  Deviance  Test d.f.   P-value_x000D_
     Full model        -36.6201         4_x000D_
   Fitted model        -37.2846         2       1.32887      2          0.5146_x000D_
  Reduced model        -40.0322         1       6.82414      3         0.07772_x000D_
_x000D_
           AIC:         78.5691_x000D_
_x000D_
_x000D_
                                  Goodness  of  Fit _x000D_
                                                                 Scaled_x000D_
     Dose     Est._Prob.    Expected    Observed     Size       Residual_x000D_
  ------------------------------------------------------------------------_x000D_
    0.0000     0.1033         2.066     1.000          20       -0.783_x000D_
   50.0000     0.1275         2.550     3.000          20        0.301_x000D_
  150.0000     0.1905         3.809     5.000          20        0.678_x000D_
  350.0000     0.3787         7.575     7.000          20       -0.265_x000D_
_x000D_
 Chi^2 = 1.23      d.f. = 2        P-value = 0.5395_x000D_
_x000D_
_x000D_
   Benchmark Dose Computation_x000D_
_x000D_
Specified effect =            0.1_x000D_
_x000D_
Risk Type        =      Extra risk _x000D_
_x000D_
Confidence level =           0.95_x000D_
_x000D_
             BMD =        153.403_x000D_
_x000D_
            BMDL =        106.881_x000D_
_x000D_
</t>
  </si>
  <si>
    <t xml:space="preserve">_x000D_
_x000D_
 ==================================================================== _x000D_
   	  Probit Model. (Version: 3.2;  Date: 10/28/2009) _x000D_
  	  Input Data File: C:/Temp/hawc/bmd test cases/1-dichotomous-tc-Probit-10%.(d)  _x000D_
  	  Gnuplot Plotting File:  C:/Temp/hawc/bmd test cases/1-dichotomous-tc-Probit-10%.plt_x000D_
 							Fri Jan 25 00:03:26 2013_x000D_
 ==================================================================== _x000D_
_x000D_
 BMDS_Model_Run _x000D_
~~~~~~~~~~~~~~~~~~~~~~~~~~~~~~~~~~~~~~~~~~~~~~~~~~~~~~~~~~~~~~~~~~~~~_x000D_
 _x000D_
   The form of the probability function is: _x000D_
_x000D_
   P[response] = CumNorm(Intercept+Slope*Dose),_x000D_
_x000D_
   where CumNorm(.) is the cumulative normal distribution function_x000D_
_x000D_
_x000D_
   Dependent variable = Incidence_x000D_
   Independent variable = Dose_x000D_
   Slope parameter is not restricted_x000D_
_x000D_
   Total number of observations = 4_x000D_
   Total number of records with missing values = 0_x000D_
   Maximum number of iterations = 250_x000D_
   Relative Function Convergence has been set to: 1e-008_x000D_
   Parameter Convergence has been set to: 1e-008_x000D_
_x000D_
_x000D_
_x000D_
                  Default Initial (and Specified) Parameter Values  _x000D_
                     background =            0   Specified_x000D_
                      intercept =     -1.33155_x000D_
                          slope =   0.00305238_x000D_
_x000D_
_x000D_
           Asymptotic Correlation Matrix of Parameter Estimates_x000D_
_x000D_
           ( *** The model parameter(s)  -background   _x000D_
                 have been estimated at a boundary point, or have been specified by the user,_x000D_
                 and do not appear in the correlation matrix )_x000D_
_x000D_
              intercept        slope_x000D_
_x000D_
 intercept            1        -0.77_x000D_
_x000D_
     slope        -0.77            1_x000D_
_x000D_
_x000D_
_x000D_
                                 Parameter Estimates_x000D_
_x000D_
                                                         95.0% Wald Confidence Interval_x000D_
       Variable         Estimate        Std. Err.     Lower Conf. Limit   Upper Conf. Limit_x000D_
      intercept         -1.28666         0.261575            -1.79934           -0.773988_x000D_
          slope       0.00280672       0.00119785         0.000458973          0.00515446_x000D_
_x000D_
_x000D_
_x000D_
                        Analysis of Deviance Table_x000D_
_x000D_
       Model      Log(likelihood)  # Param's  Deviance  Test d.f.   P-value_x000D_
     Full model        -36.6201         4_x000D_
   Fitted model        -37.2272         2       1.21417      2          0.5449_x000D_
  Reduced model        -40.0322         1       6.82414      3         0.07772_x000D_
_x000D_
           AIC:         78.4544_x000D_
_x000D_
_x000D_
                                  Goodness  of  Fit _x000D_
                                                                 Scaled_x000D_
     Dose     Est._Prob.    Expected    Observed     Size       Residual_x000D_
  ------------------------------------------------------------------------_x000D_
    0.0000     0.0991         1.982     1.000          20       -0.735_x000D_
   50.0000     0.1258         2.517     3.000          20        0.326_x000D_
  150.0000     0.1933         3.867     5.000          20        0.642_x000D_
  350.0000     0.3804         7.609     7.000          20       -0.280_x000D_
_x000D_
 Chi^2 = 1.14      d.f. = 2        P-value = 0.5665_x000D_
_x000D_
_x000D_
   Benchmark Dose Computation_x000D_
_x000D_
Specified effect =            0.1_x000D_
_x000D_
Risk Type        =      Extra risk _x000D_
_x000D_
Confidence level =           0.95_x000D_
_x000D_
             BMD =        144.581_x000D_
_x000D_
            BMDL =        99.9959_x000D_
_x000D_
</t>
  </si>
  <si>
    <t xml:space="preserve">_x000D_
_x000D_
 ==================================================================== _x000D_
   	  Probit Model. (Version: 3.2;  Date: 10/28/2009) _x000D_
  	  Input Data File: C:/Temp/hawc/bmd test cases/1-dichotomous-tc-LogProbit-10%.(d)  _x000D_
  	  Gnuplot Plotting File:  C:/Temp/hawc/bmd test cases/1-dichotomous-tc-LogProbit-10%.plt_x000D_
 							Fri Jan 25 00:03:26 2013_x000D_
 ==================================================================== _x000D_
_x000D_
 BMDS_Model_Run _x000D_
~~~~~~~~~~~~~~~~~~~~~~~~~~~~~~~~~~~~~~~~~~~~~~~~~~~~~~~~~~~~~~~~~~~~~_x000D_
 _x000D_
   The form of the probability function is: _x000D_
_x000D_
   P[response] = Background_x000D_
               + (1-Background) * CumNorm(Intercept+Slope*Log(Dose)),_x000D_
_x000D_
   where CumNorm(.) is the cumulative normal distribution function_x000D_
_x000D_
_x000D_
   Dependent variable = Incidence_x000D_
   Independent variable = Dose_x000D_
   Slope parameter is restricted as slope &gt;= 1_x000D_
_x000D_
   Total number of observations = 4_x000D_
   Total number of records with missing values = 0_x000D_
   Maximum number of iterations = 250_x000D_
   Relative Function Convergence has been set to: 1e-008_x000D_
   Parameter Convergence has been set to: 1e-008_x000D_
_x000D_
_x000D_
_x000D_
   User has chosen the log transformed model_x000D_
_x000D_
_x000D_
                  Default Initial (and Specified) Parameter Values  _x000D_
                     background =         0.05_x000D_
                      intercept =     -5.91561_x000D_
                          slope =            1_x000D_
_x000D_
_x000D_
           Asymptotic Correlation Matrix of Parameter Estimates_x000D_
_x000D_
           ( *** The model parameter(s)  -slope   _x000D_
                 have been estimated at a boundary point, or have been specified by the user,_x000D_
                 and do not appear in the correlation matrix )_x000D_
_x000D_
             background    intercept_x000D_
_x000D_
background            1        -0.58_x000D_
_x000D_
 intercept        -0.58            1_x000D_
_x000D_
_x000D_
_x000D_
                                 Parameter Estimates_x000D_
_x000D_
                                                         95.0% Wald Confidence Interval_x000D_
       Variable         Estimate        Std. Err.     Lower Conf. Limit   Upper Conf. Limit_x000D_
     background          0.10422        0.0530666         0.000211408            0.208229_x000D_
      intercept         -6.30176         0.370514            -7.02795            -5.57556_x000D_
          slope                1               NA_x000D_
_x000D_
NA - Indicates that this parameter has hit a bound_x000D_
     implied by some inequality constraint and thus_x000D_
     has no standard error._x000D_
_x000D_
_x000D_
_x000D_
                        Analysis of Deviance Table_x000D_
_x000D_
       Model      Log(likelihood)  # Param's  Deviance  Test d.f.   P-value_x000D_
     Full model        -36.6201         4_x000D_
   Fitted model         -37.437         2       1.63382      2          0.4418_x000D_
  Reduced model        -40.0322         1       6.82414      3         0.07772_x000D_
_x000D_
           AIC:         78.8741_x000D_
_x000D_
_x000D_
                                  Goodness  of  Fit _x000D_
                                                                 Scaled_x000D_
     Dose     Est._Prob.    Expected    Observed     Size       Residual_x000D_
  ------------------------------------------------------------------------_x000D_
    0.0000     0.1042         2.084     1.000          20       -0.794_x000D_
   50.0000     0.1118         2.235     3.000          20        0.543_x000D_
  150.0000     0.1923         3.846     5.000          20        0.655_x000D_
  350.0000     0.3986         7.971     7.000          20       -0.444_x000D_
_x000D_
 Chi^2 = 1.55      d.f. = 2        P-value = 0.4608_x000D_
_x000D_
_x000D_
   Benchmark Dose Computation_x000D_
_x000D_
Specified effect =            0.1_x000D_
_x000D_
Risk Type        =      Extra risk _x000D_
_x000D_
Confidence level =           0.95_x000D_
_x000D_
             BMD =        151.442_x000D_
_x000D_
            BMDL =        90.1705_x000D_
_x000D_
</t>
  </si>
  <si>
    <t xml:space="preserve">_x000D_
_x000D_
 ==================================================================== _x000D_
   	  Weibull Model using Weibull Model (Version: 2.15;  Date: 10/28/2009) _x000D_
  	  Input Data File: C:/Temp/hawc/bmd test cases/1-dichotomous-tc-Weibull-10%.(d)  _x000D_
  	  Gnuplot Plotting File:  C:/Temp/hawc/bmd test cases/1-dichotomous-tc-Weibull-10%.plt_x000D_
 							Fri Jan 25 00:03:26 2013_x000D_
 ==================================================================== _x000D_
_x000D_
 BMDS_Model_Run _x000D_
~~~~~~~~~~~~~~~~~~~~~~~~~~~~~~~~~~~~~~~~~~~~~~~~~~~~~~~~~~~~~~~~~~~~~_x000D_
 _x000D_
   The form of the probability function is: _x000D_
_x000D_
   P[response] = background + (1-background)*[1-EXP(-slope*dose^power)]_x000D_
_x000D_
_x000D_
   Dependent variable = Incidence_x000D_
   Independent variable = Dose_x000D_
   Power parameter is restricted as power &gt;= 1.000000_x000D_
_x000D_
   Total number of observations = 4_x000D_
   Total number of records with missing values = 0_x000D_
   Maximum number of iterations = 250_x000D_
   Relative Function Convergence has been set to: 1e-008_x000D_
   Parameter Convergence has been set to: 1e-008_x000D_
_x000D_
_x000D_
_x000D_
                  Default Initial (and Specified) Parameter Values  _x000D_
                     Background =    0.0909091_x000D_
                          Slope =   0.00101907_x000D_
                          Power =            1_x000D_
_x000D_
_x000D_
           Asymptotic Correlation Matrix of Parameter Estimates_x000D_
_x000D_
           ( *** The model parameter(s)  -Power   _x000D_
                 have been estimated at a boundary point, or have been specified by the user,_x000D_
                 and do not appear in the correlation matrix )_x000D_
_x000D_
             Background        Slope_x000D_
_x000D_
Background            1        -0.59_x000D_
_x000D_
     Slope        -0.59            1_x000D_
_x000D_
_x000D_
_x000D_
                                 Parameter Estimates_x000D_
_x000D_
                                                         95.0% Wald Confidence Interval_x000D_
       Variable         Estimate        Std. Err.     Lower Conf. Limit   Upper Conf. Limit_x000D_
     Background        0.0686704         0.052279          -0.0337946            0.171135_x000D_
          Slope       0.00118448      0.000511805         0.000181362           0.0021876_x000D_
          Power                1               NA_x000D_
_x000D_
NA - Indicates that this parameter has hit a bound_x000D_
     implied by some inequality constraint and thus_x000D_
     has no standard error._x000D_
_x000D_
_x000D_
_x000D_
                        Analysis of Deviance Table_x000D_
_x000D_
       Model      Log(likelihood)  # Param's  Deviance  Test d.f.   P-value_x000D_
     Full model        -36.6201         4_x000D_
   Fitted model        -36.8492         2      0.458074      2          0.7953_x000D_
  Reduced model        -40.0322         1       6.82414      3         0.07772_x000D_
_x000D_
           AIC:         77.6983_x000D_
_x000D_
_x000D_
                                  Goodness  of  Fit _x000D_
                                                                 Scaled_x000D_
     Dose     Est._Prob.    Expected    Observed     Size       Residual_x000D_
  ------------------------------------------------------------------------_x000D_
    0.0000     0.0687         1.373     1.000          20       -0.330_x000D_
   50.0000     0.1222         2.445     3.000          20        0.379_x000D_
  150.0000     0.2203         4.406     5.000          20        0.321_x000D_
  350.0000     0.3847         7.695     7.000          20       -0.319_x000D_
_x000D_
 Chi^2 = 0.46      d.f. = 2        P-value = 0.7955_x000D_
_x000D_
_x000D_
   Benchmark Dose Computation_x000D_
_x000D_
Specified effect =            0.1_x000D_
_x000D_
Risk Type        =      Extra risk _x000D_
_x000D_
Confidence level =           0.95_x000D_
_x000D_
             BMD =        88.9508_x000D_
_x000D_
            BMDL =       50.4128_x000D_
_x000D_
</t>
  </si>
  <si>
    <t xml:space="preserve">_x000D_
_x000D_
 ==================================================================== _x000D_
   	  Multistage Model. (Version: 3.2;  Date: 05/26/2010) _x000D_
  	  Input Data File: C:/Temp/hawc/bmd test cases/1-dichotomous-tc-Multi3-10%.(d)  _x000D_
  	  Gnuplot Plotting File:  C:/Temp/hawc/bmd test cases/1-dichotomous-tc-Multi3-10%.plt_x000D_
 							Fri Jan 25 00:03:26 2013_x000D_
 ==================================================================== _x000D_
_x000D_
 BMDS_Model_Run _x000D_
~~~~~~~~~~~~~~~~~~~~~~~~~~~~~~~~~~~~~~~~~~~~~~~~~~~~~~~~~~~~~~~~~~~~~_x000D_
 _x000D_
   The form of the probability function is: _x000D_
_x000D_
   P[response] = background + (1-background)*[1-EXP(_x000D_
                 -beta1*dose^1-beta2*dose^2-beta3*dose^3)]_x000D_
_x000D_
   The parameter betas are restricted to be positive_x000D_
_x000D_
_x000D_
   Dependent variable = Incidence_x000D_
   Independent variable = Dose_x000D_
_x000D_
 Total number of observations = 4_x000D_
 Total number of records with missing values = 0_x000D_
 Total number of parameters in model = 4_x000D_
 Total number of specified parameters = 0_x000D_
 Degree of polynomial = 3_x000D_
_x000D_
_x000D_
 Maximum number of iterations = 250_x000D_
 Relative Function Convergence has been set to: 1e-008_x000D_
 Parameter Convergence has been set to: 1e-008_x000D_
_x000D_
_x000D_
_x000D_
                  Default Initial Parameter Values  _x000D_
                     Background =    0.0876795_x000D_
                        Beta(1) =   0.00102768_x000D_
                        Beta(2) =            0_x000D_
                        Beta(3) =            0_x000D_
_x000D_
_x000D_
           Asymptotic Correlation Matrix of Parameter Estimates_x000D_
_x000D_
           ( *** The model parameter(s)  -Beta(2)    -Beta(3)   _x000D_
                 have been estimated at a boundary point, or have been specified by the user,_x000D_
                 and do not appear in the correlation matrix )_x000D_
_x000D_
             Background      Beta(1)_x000D_
_x000D_
Background            1        -0.71_x000D_
_x000D_
   Beta(1)        -0.71            1_x000D_
_x000D_
_x000D_
_x000D_
                                 Parameter Estimates_x000D_
_x000D_
                                                         95.0% Wald Confidence Interval_x000D_
       Variable         Estimate        Std. Err.     Lower Conf. Limit   Upper Conf. Limit_x000D_
     Background        0.0686703            *                *                  *_x000D_
        Beta(1)       0.00118448            *                *                  *_x000D_
        Beta(2)                0            *                *                  *_x000D_
        Beta(3)                0            *                *                  *_x000D_
_x000D_
* - Indicates that this value is not calculated._x000D_
_x000D_
_x000D_
_x000D_
                        Analysis of Deviance Table_x000D_
_x000D_
       Model      Log(likelihood)  # Param's  Deviance  Test d.f.   P-value_x000D_
     Full model        -36.6201         4_x000D_
   Fitted model        -36.8492         2      0.458074      2          0.7953_x000D_
  Reduced model        -40.0322         1       6.82414      3         0.07772_x000D_
_x000D_
           AIC:         77.6983_x000D_
_x000D_
_x000D_
                                  Goodness  of  Fit _x000D_
                                                                 Scaled_x000D_
     Dose     Est._Prob.    Expected    Observed     Size       Residual_x000D_
  ------------------------------------------------------------------------_x000D_
    0.0000     0.0687         1.373     1.000          20       -0.330_x000D_
   50.0000     0.1222         2.445     3.000          20        0.379_x000D_
  150.0000     0.2203         4.406     5.000          20        0.321_x000D_
  350.0000     0.3847         7.695     7.000          20       -0.319_x000D_
_x000D_
 Chi^2 = 0.46      d.f. = 2        P-value = 0.7955_x000D_
_x000D_
_x000D_
   Benchmark Dose Computation_x000D_
_x000D_
Specified effect =            0.1_x000D_
_x000D_
Risk Type        =      Extra risk _x000D_
_x000D_
Confidence level =           0.95_x000D_
_x000D_
             BMD =        88.9507_x000D_
_x000D_
            BMDL =        50.4128_x000D_
_x000D_
            BMDU =        285.754_x000D_
_x000D_
Taken together, (50.4128, 285.754) is a 90     % two-sided confidence_x000D_
interval for the BMD_x000D_
_x000D_
</t>
  </si>
  <si>
    <t xml:space="preserve">_x000D_
_x000D_
 ==================================================================== _x000D_
   	  Multistage Model. (Version: 3.2;  Date: 05/26/2010) _x000D_
  	  Input Data File: C:/Temp/hawc/bmd test cases/1-dichotomous-tc-Multi2-10%.(d)  _x000D_
  	  Gnuplot Plotting File:  C:/Temp/hawc/bmd test cases/1-dichotomous-tc-Multi2-10%.plt_x000D_
 							Fri Jan 25 00:03:27 2013_x000D_
 ==================================================================== _x000D_
_x000D_
 BMDS_Model_Run _x000D_
~~~~~~~~~~~~~~~~~~~~~~~~~~~~~~~~~~~~~~~~~~~~~~~~~~~~~~~~~~~~~~~~~~~~~_x000D_
 _x000D_
   The form of the probability function is: _x000D_
_x000D_
   P[response] = background + (1-background)*[1-EXP(_x000D_
                 -beta1*dose^1-beta2*dose^2)]_x000D_
_x000D_
   The parameter betas are restricted to be positive_x000D_
_x000D_
_x000D_
   Dependent variable = Incidence_x000D_
   Independent variable = Dose_x000D_
_x000D_
 Total number of observations = 4_x000D_
 Total number of records with missing values = 0_x000D_
 Total number of parameters in model = 3_x000D_
 Total number of specified parameters = 0_x000D_
 Degree of polynomial = 2_x000D_
_x000D_
_x000D_
 Maximum number of iterations = 250_x000D_
 Relative Function Convergence has been set to: 1e-008_x000D_
 Parameter Convergence has been set to: 1e-008_x000D_
_x000D_
_x000D_
_x000D_
                  Default Initial Parameter Values  _x000D_
                     Background =    0.0876795_x000D_
                        Beta(1) =   0.00102768_x000D_
                        Beta(2) =            0_x000D_
_x000D_
_x000D_
           Asymptotic Correlation Matrix of Parameter Estimates_x000D_
_x000D_
           ( *** The model parameter(s)  -Beta(2)   _x000D_
                 have been estimated at a boundary point, or have been specified by the user,_x000D_
                 and do not appear in the correlation matrix )_x000D_
_x000D_
             Background      Beta(1)_x000D_
_x000D_
Background            1        -0.71_x000D_
_x000D_
   Beta(1)        -0.71            1_x000D_
_x000D_
_x000D_
_x000D_
                                 Parameter Estimates_x000D_
_x000D_
                                                         95.0% Wald Confidence Interval_x000D_
       Variable         Estimate        Std. Err.     Lower Conf. Limit   Upper Conf. Limit_x000D_
     Background        0.0686703            *                *                  *_x000D_
        Beta(1)       0.00118448            *                *                  *_x000D_
        Beta(2)                0            *                *                  *_x000D_
_x000D_
* - Indicates that this value is not calculated._x000D_
_x000D_
_x000D_
_x000D_
                        Analysis of Deviance Table_x000D_
_x000D_
       Model      Log(likelihood)  # Param's  Deviance  Test d.f.   P-value_x000D_
     Full model        -36.6201         4_x000D_
   Fitted model        -36.8492         2      0.458074      2          0.7953_x000D_
  Reduced model        -40.0322         1       6.82414      3         0.07772_x000D_
_x000D_
           AIC:         77.6983_x000D_
_x000D_
_x000D_
                                  Goodness  of  Fit _x000D_
                                                                 Scaled_x000D_
     Dose     Est._Prob.    Expected    Observed     Size       Residual_x000D_
  ------------------------------------------------------------------------_x000D_
    0.0000     0.0687         1.373     1.000          20       -0.330_x000D_
   50.0000     0.1222         2.445     3.000          20        0.379_x000D_
  150.0000     0.2203         4.406     5.000          20        0.321_x000D_
  350.0000     0.3847         7.695     7.000          20       -0.319_x000D_
_x000D_
 Chi^2 = 0.46      d.f. = 2        P-value = 0.7955_x000D_
_x000D_
_x000D_
   Benchmark Dose Computation_x000D_
_x000D_
Specified effect =            0.1_x000D_
_x000D_
Risk Type        =      Extra risk _x000D_
_x000D_
Confidence level =           0.95_x000D_
_x000D_
             BMD =        88.9506_x000D_
_x000D_
            BMDL =        50.4128_x000D_
_x000D_
            BMDU =        277.941_x000D_
_x000D_
Taken together, (50.4128, 277.941) is a 90     % two-sided confidence_x000D_
interval for the BMD_x000D_
_x000D_
</t>
  </si>
  <si>
    <t xml:space="preserve">_x000D_
_x000D_
 ==================================================================== _x000D_
   	  Multistage Model. (Version: 3.2;  Date: 05/26/2010) _x000D_
  	  Input Data File: C:/Temp/hawc/bmd test cases/1-dichotomous-tc-Multi1-10%.(d)  _x000D_
  	  Gnuplot Plotting File:  C:/Temp/hawc/bmd test cases/1-dichotomous-tc-Multi1-10%.plt_x000D_
 							Fri Jan 25 00:03:27 2013_x000D_
 ==================================================================== _x000D_
_x000D_
 BMDS_Model_Run _x000D_
~~~~~~~~~~~~~~~~~~~~~~~~~~~~~~~~~~~~~~~~~~~~~~~~~~~~~~~~~~~~~~~~~~~~~_x000D_
 _x000D_
   The form of the probability function is: _x000D_
_x000D_
   P[response] = background + (1-background)*[1-EXP(_x000D_
                 -beta1*dose^1)]_x000D_
_x000D_
   The parameter betas are restricted to be positive_x000D_
_x000D_
_x000D_
   Dependent variable = Incidence_x000D_
   Independent variable = Dose_x000D_
_x000D_
 Total number of observations = 4_x000D_
 Total number of records with missing values = 0_x000D_
 Total number of parameters in model = 2_x000D_
 Total number of specified parameters = 0_x000D_
 Degree of polynomial = 1_x000D_
_x000D_
_x000D_
 Maximum number of iterations = 250_x000D_
 Relative Function Convergence has been set to: 1e-008_x000D_
 Parameter Convergence has been set to: 1e-008_x000D_
_x000D_
_x000D_
_x000D_
                  Default Initial Parameter Values  _x000D_
                     Background =    0.0876795_x000D_
                        Beta(1) =   0.00102768_x000D_
_x000D_
_x000D_
           Asymptotic Correlation Matrix of Parameter Estimates_x000D_
_x000D_
             Background      Beta(1)_x000D_
_x000D_
Background            1        -0.71_x000D_
_x000D_
   Beta(1)        -0.71            1_x000D_
_x000D_
_x000D_
_x000D_
                                 Parameter Estimates_x000D_
_x000D_
                                                         95.0% Wald Confidence Interval_x000D_
       Variable         Estimate        Std. Err.     Lower Conf. Limit   Upper Conf. Limit_x000D_
     Background        0.0686704            *                *                  *_x000D_
        Beta(1)       0.00118448            *                *                  *_x000D_
_x000D_
* - Indicates that this value is not calculated._x000D_
_x000D_
_x000D_
_x000D_
                        Analysis of Deviance Table_x000D_
_x000D_
       Model      Log(likelihood)  # Param's  Deviance  Test d.f.   P-value_x000D_
     Full model        -36.6201         4_x000D_
   Fitted model        -36.8492         2      0.458074      2          0.7953_x000D_
  Reduced model        -40.0322         1       6.82414      3         0.07772_x000D_
_x000D_
           AIC:         77.6983_x000D_
_x000D_
_x000D_
                                  Goodness  of  Fit _x000D_
                                                                 Scaled_x000D_
     Dose     Est._Prob.    Expected    Observed     Size       Residual_x000D_
  ------------------------------------------------------------------------_x000D_
    0.0000     0.0687         1.373     1.000          20       -0.330_x000D_
   50.0000     0.1222         2.445     3.000          20        0.379_x000D_
  150.0000     0.2203         4.406     5.000          20        0.321_x000D_
  350.0000     0.3847         7.695     7.000          20       -0.319_x000D_
_x000D_
 Chi^2 = 0.46      d.f. = 2        P-value = 0.7955_x000D_
_x000D_
_x000D_
   Benchmark Dose Computation_x000D_
_x000D_
Specified effect =            0.1_x000D_
_x000D_
Risk Type        =      Extra risk _x000D_
_x000D_
Confidence level =           0.95_x000D_
_x000D_
             BMD =        88.9507_x000D_
_x000D_
            BMDL =        50.4128_x000D_
_x000D_
            BMDU =        268.892_x000D_
_x000D_
Taken together, (50.4128, 268.892) is a 90     % two-sided confidence_x000D_
interval for the BMD_x000D_
_x000D_
</t>
  </si>
  <si>
    <t>Lowest BMDL_x000D_
Lowest AIC_x000D_</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</si>
</sst>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0.000"/>
    <numFmt numFmtId="165" formatCode="0.0"/>
  </numFmts>
  <fonts count="24" x14ac:knownFonts="1">
    <font>
      <sz val="10"/>
      <name val="Arial"/>
    </font>
    <font>
      <sz val="10"/>
      <name val="Arial"/>
      <family val="2"/>
    </font>
    <font>
      <sz val="8"/>
      <name val="Arial"/>
      <family val="2"/>
    </font>
    <font>
      <b/>
      <sz val="14"/>
      <color indexed="9"/>
      <name val="Arial"/>
      <family val="2"/>
    </font>
    <font>
      <b/>
      <i/>
      <sz val="10"/>
      <color indexed="9"/>
      <name val="Arial"/>
      <family val="2"/>
    </font>
    <font>
      <b/>
      <sz val="10"/>
      <name val="Arial"/>
      <family val="2"/>
    </font>
    <font>
      <b/>
      <sz val="12"/>
      <name val="Arial"/>
      <family val="2"/>
    </font>
    <font>
      <b/>
      <sz val="10"/>
      <color indexed="9"/>
      <name val="Arial"/>
      <family val="2"/>
    </font>
    <font>
      <b/>
      <sz val="8"/>
      <color indexed="81"/>
      <name val="Tahoma"/>
      <family val="2"/>
    </font>
    <font>
      <sz val="8"/>
      <color indexed="81"/>
      <name val="Tahoma"/>
      <family val="2"/>
    </font>
    <font>
      <b/>
      <sz val="10"/>
      <color rgb="FFFFFFFF"/>
      <name val="Arial"/>
      <family val="2"/>
    </font>
    <font>
      <sz val="10"/>
      <name val="Arial"/>
      <family val="2"/>
    </font>
    <font>
      <sz val="10"/>
      <color theme="1" tint="0.499984740745262"/>
      <name val="Arial"/>
      <family val="2"/>
    </font>
    <font>
      <u/>
      <sz val="10"/>
      <color theme="4"/>
      <name val="Arial"/>
      <family val="2"/>
    </font>
    <font>
      <b/>
      <sz val="10"/>
      <color rgb="FF000000"/>
      <name val="Arial"/>
      <family val="2"/>
    </font>
    <font>
      <sz val="9"/>
      <color indexed="81"/>
      <name val="Consolas"/>
      <family val="3"/>
    </font>
    <font>
      <b/>
      <sz val="9"/>
      <color indexed="81"/>
      <name val="Calibri"/>
      <family val="2"/>
      <scheme val="minor"/>
    </font>
    <font>
      <sz val="9"/>
      <color indexed="81"/>
      <name val="Calibri"/>
      <family val="2"/>
      <scheme val="minor"/>
    </font>
    <font>
      <sz val="9"/>
      <color indexed="81"/>
      <name val="Tahoma"/>
      <family val="2"/>
    </font>
    <font>
      <b/>
      <sz val="9"/>
      <color indexed="81"/>
      <name val="Tahoma"/>
      <family val="2"/>
    </font>
    <font>
      <sz val="9"/>
      <color indexed="81"/>
      <name val="Courier New"/>
      <family val="3"/>
    </font>
    <font>
      <u/>
      <sz val="10"/>
      <name val="Arial"/>
      <family val="2"/>
    </font>
    <font>
      <sz val="10"/>
      <color indexed="8"/>
      <name val="Arial"/>
      <family val="2"/>
    </font>
    <font>
      <sz val="10"/>
      <color indexed="10"/>
      <name val="Arial"/>
      <family val="2"/>
    </font>
  </fonts>
  <fills count="14">
    <fill>
      <patternFill patternType="none"/>
    </fill>
    <fill>
      <patternFill patternType="gray125"/>
    </fill>
    <fill>
      <patternFill patternType="solid">
        <fgColor indexed="9"/>
        <bgColor indexed="64"/>
      </patternFill>
    </fill>
    <fill>
      <patternFill patternType="solid">
        <fgColor theme="6" tint="0.59999389629810485"/>
        <bgColor indexed="64"/>
      </patternFill>
    </fill>
    <fill>
      <patternFill patternType="solid">
        <fgColor theme="3" tint="0.79998168889431442"/>
        <bgColor indexed="64"/>
      </patternFill>
    </fill>
    <fill>
      <patternFill patternType="solid">
        <fgColor theme="6" tint="0.39997558519241921"/>
        <bgColor indexed="64"/>
      </patternFill>
    </fill>
    <fill>
      <patternFill patternType="solid">
        <fgColor theme="6" tint="-0.249977111117893"/>
        <bgColor indexed="64"/>
      </patternFill>
    </fill>
    <fill>
      <patternFill patternType="solid">
        <fgColor theme="5" tint="-0.249977111117893"/>
        <bgColor indexed="64"/>
      </patternFill>
    </fill>
    <fill>
      <patternFill patternType="solid">
        <fgColor theme="4" tint="0.79998168889431442"/>
        <bgColor indexed="64"/>
      </patternFill>
    </fill>
    <fill>
      <patternFill patternType="solid">
        <fgColor theme="3" tint="0.39997558519241921"/>
        <bgColor indexed="64"/>
      </patternFill>
    </fill>
    <fill>
      <patternFill patternType="solid">
        <fgColor theme="7" tint="0.59999389629810485"/>
        <bgColor indexed="64"/>
      </patternFill>
    </fill>
    <fill>
      <patternFill patternType="solid">
        <fgColor theme="9" tint="0.39997558519241921"/>
        <bgColor indexed="64"/>
      </patternFill>
    </fill>
    <fill>
      <patternFill patternType="solid">
        <fgColor theme="1" tint="0.499984740745262"/>
        <bgColor indexed="64"/>
      </patternFill>
    </fill>
    <fill>
      <patternFill patternType="solid">
        <fgColor indexed="42"/>
        <bgColor indexed="64"/>
      </patternFill>
    </fill>
  </fills>
  <borders count="21">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right/>
      <top/>
      <bottom style="thick">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medium">
        <color auto="1"/>
      </left>
      <right/>
      <top style="medium">
        <color auto="1"/>
      </top>
      <bottom/>
      <diagonal/>
    </border>
    <border>
      <left/>
      <right style="medium">
        <color auto="1"/>
      </right>
      <top style="medium">
        <color auto="1"/>
      </top>
      <bottom/>
      <diagonal/>
    </border>
    <border>
      <left style="medium">
        <color auto="1"/>
      </left>
      <right/>
      <top/>
      <bottom/>
      <diagonal/>
    </border>
    <border>
      <left/>
      <right style="medium">
        <color auto="1"/>
      </right>
      <top/>
      <bottom/>
      <diagonal/>
    </border>
    <border>
      <left style="medium">
        <color auto="1"/>
      </left>
      <right/>
      <top/>
      <bottom style="medium">
        <color auto="1"/>
      </bottom>
      <diagonal/>
    </border>
    <border>
      <left/>
      <right style="medium">
        <color auto="1"/>
      </right>
      <top/>
      <bottom style="medium">
        <color auto="1"/>
      </bottom>
      <diagonal/>
    </border>
    <border>
      <left/>
      <right/>
      <top style="medium">
        <color auto="1"/>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style="thin">
        <color indexed="64"/>
      </right>
      <top style="thin">
        <color indexed="64"/>
      </top>
      <bottom/>
      <diagonal/>
    </border>
  </borders>
  <cellStyleXfs count="15">
    <xf numFmtId="0" fontId="0" fillId="0" borderId="0"/>
    <xf numFmtId="0" fontId="11" fillId="8" borderId="0"/>
    <xf numFmtId="0" fontId="11" fillId="3" borderId="2">
      <alignment horizontal="center" vertical="center"/>
      <protection locked="0"/>
    </xf>
    <xf numFmtId="0" fontId="1" fillId="3" borderId="2">
      <alignment horizontal="left" vertical="center"/>
      <protection locked="0"/>
    </xf>
    <xf numFmtId="0" fontId="1" fillId="4" borderId="2">
      <alignment horizontal="left"/>
    </xf>
    <xf numFmtId="0" fontId="7" fillId="9" borderId="2">
      <alignment horizontal="center" vertical="center" wrapText="1"/>
    </xf>
    <xf numFmtId="0" fontId="7" fillId="9" borderId="2">
      <alignment horizontal="left" vertical="center" wrapText="1"/>
    </xf>
    <xf numFmtId="0" fontId="5" fillId="8" borderId="0"/>
    <xf numFmtId="0" fontId="4" fillId="9" borderId="0">
      <alignment horizontal="left" vertical="center"/>
    </xf>
    <xf numFmtId="0" fontId="3" fillId="9" borderId="0"/>
    <xf numFmtId="0" fontId="1" fillId="2" borderId="2"/>
    <xf numFmtId="0" fontId="12" fillId="12" borderId="2">
      <alignment horizontal="left"/>
    </xf>
    <xf numFmtId="0" fontId="1" fillId="10" borderId="2">
      <alignment horizontal="left"/>
    </xf>
    <xf numFmtId="0" fontId="1" fillId="11" borderId="2">
      <alignment horizontal="left" vertical="center"/>
      <protection locked="0"/>
    </xf>
    <xf numFmtId="0" fontId="13" fillId="8" borderId="0"/>
  </cellStyleXfs>
  <cellXfs count="135">
    <xf numFmtId="0" fontId="0" fillId="0" borderId="0" xfId="0"/>
    <xf numFmtId="0" fontId="4" fillId="9" borderId="0" xfId="8">
      <alignment horizontal="left" vertical="center"/>
    </xf>
    <xf numFmtId="0" fontId="0" fillId="8" borderId="0" xfId="0" applyFill="1"/>
    <xf numFmtId="0" fontId="6" fillId="8" borderId="0" xfId="0" applyFont="1" applyFill="1"/>
    <xf numFmtId="0" fontId="1" fillId="3" borderId="2" xfId="2" applyFont="1">
      <alignment horizontal="center" vertical="center"/>
      <protection locked="0"/>
    </xf>
    <xf numFmtId="0" fontId="1" fillId="3" borderId="2" xfId="3">
      <alignment horizontal="left" vertical="center"/>
      <protection locked="0"/>
    </xf>
    <xf numFmtId="0" fontId="1" fillId="8" borderId="0" xfId="1" applyFont="1"/>
    <xf numFmtId="0" fontId="1" fillId="4" borderId="2" xfId="4">
      <alignment horizontal="left"/>
    </xf>
    <xf numFmtId="0" fontId="7" fillId="9" borderId="2" xfId="6">
      <alignment horizontal="left" vertical="center" wrapText="1"/>
    </xf>
    <xf numFmtId="0" fontId="7" fillId="9" borderId="2" xfId="5">
      <alignment horizontal="center" vertical="center" wrapText="1"/>
    </xf>
    <xf numFmtId="0" fontId="3" fillId="9" borderId="0" xfId="9"/>
    <xf numFmtId="0" fontId="4" fillId="9" borderId="6" xfId="8" applyBorder="1">
      <alignment horizontal="left" vertical="center"/>
    </xf>
    <xf numFmtId="0" fontId="5" fillId="8" borderId="0" xfId="7"/>
    <xf numFmtId="0" fontId="1" fillId="2" borderId="2" xfId="10"/>
    <xf numFmtId="0" fontId="12" fillId="12" borderId="2" xfId="11">
      <alignment horizontal="left"/>
    </xf>
    <xf numFmtId="0" fontId="1" fillId="10" borderId="2" xfId="12">
      <alignment horizontal="left"/>
    </xf>
    <xf numFmtId="0" fontId="1" fillId="11" borderId="2" xfId="13">
      <alignment horizontal="left" vertical="center"/>
      <protection locked="0"/>
    </xf>
    <xf numFmtId="0" fontId="4" fillId="9" borderId="10" xfId="8" applyBorder="1">
      <alignment horizontal="left" vertical="center"/>
    </xf>
    <xf numFmtId="0" fontId="4" fillId="9" borderId="11" xfId="8" applyBorder="1">
      <alignment horizontal="left" vertical="center"/>
    </xf>
    <xf numFmtId="0" fontId="4" fillId="9" borderId="12" xfId="8" applyBorder="1">
      <alignment horizontal="left" vertical="center"/>
    </xf>
    <xf numFmtId="0" fontId="4" fillId="9" borderId="13" xfId="8" applyBorder="1">
      <alignment horizontal="left" vertical="center"/>
    </xf>
    <xf numFmtId="0" fontId="4" fillId="9" borderId="14" xfId="8" applyBorder="1">
      <alignment horizontal="left" vertical="center"/>
    </xf>
    <xf numFmtId="0" fontId="4" fillId="9" borderId="15" xfId="8" applyBorder="1">
      <alignment horizontal="left" vertical="center"/>
    </xf>
    <xf numFmtId="0" fontId="13" fillId="8" borderId="0" xfId="1" applyFont="1"/>
    <xf numFmtId="0" fontId="13" fillId="8" borderId="0" xfId="14"/>
    <xf numFmtId="0" fontId="4" fillId="9" borderId="16" xfId="8" applyBorder="1">
      <alignment horizontal="left" vertical="center"/>
    </xf>
    <xf numFmtId="0" fontId="4" fillId="9" borderId="0" xfId="8" applyBorder="1">
      <alignment horizontal="left" vertical="center"/>
    </xf>
    <xf numFmtId="0" fontId="4" fillId="9" borderId="1" xfId="8" applyBorder="1">
      <alignment horizontal="left" vertical="center"/>
    </xf>
    <xf numFmtId="0" fontId="1" fillId="4" borderId="8" xfId="4" applyBorder="1">
      <alignment horizontal="left"/>
    </xf>
    <xf numFmtId="0" fontId="1" fillId="4" borderId="9" xfId="4" applyBorder="1">
      <alignment horizontal="left"/>
    </xf>
    <xf numFmtId="0" fontId="1" fillId="4" borderId="7" xfId="4" applyBorder="1">
      <alignment horizontal="left"/>
    </xf>
    <xf numFmtId="0" fontId="10" fillId="6" borderId="2" xfId="2" applyFont="1" applyFill="1">
      <alignment horizontal="center" vertical="center"/>
      <protection locked="0"/>
    </xf>
    <xf numFmtId="0" fontId="5" fillId="5" borderId="2" xfId="2" applyFont="1" applyFill="1">
      <alignment horizontal="center" vertical="center"/>
      <protection locked="0"/>
    </xf>
    <xf numFmtId="14" fontId="4" fillId="9" borderId="0" xfId="8" applyNumberFormat="1">
      <alignment horizontal="left" vertical="center"/>
    </xf>
    <xf numFmtId="0" fontId="4" fillId="9" borderId="3" xfId="8" applyBorder="1">
      <alignment horizontal="left" vertical="center"/>
    </xf>
    <xf numFmtId="0" fontId="4" fillId="9" borderId="4" xfId="8" applyBorder="1">
      <alignment horizontal="left" vertical="center"/>
    </xf>
    <xf numFmtId="0" fontId="4" fillId="9" borderId="5" xfId="8" applyBorder="1">
      <alignment horizontal="left" vertical="center"/>
    </xf>
    <xf numFmtId="164" fontId="4" fillId="9" borderId="0" xfId="8" applyNumberFormat="1">
      <alignment horizontal="left" vertical="center"/>
    </xf>
    <xf numFmtId="164" fontId="4" fillId="9" borderId="6" xfId="8" applyNumberFormat="1" applyBorder="1">
      <alignment horizontal="left" vertical="center"/>
    </xf>
    <xf numFmtId="164" fontId="1" fillId="8" borderId="0" xfId="1" applyNumberFormat="1" applyFont="1"/>
    <xf numFmtId="0" fontId="1" fillId="8" borderId="0" xfId="1" applyFont="1" applyAlignment="1">
      <alignment wrapText="1"/>
    </xf>
    <xf numFmtId="11" fontId="1" fillId="4" borderId="2" xfId="4" applyNumberFormat="1">
      <alignment horizontal="left"/>
    </xf>
    <xf numFmtId="2" fontId="1" fillId="8" borderId="0" xfId="1" applyNumberFormat="1" applyFont="1"/>
    <xf numFmtId="2" fontId="4" fillId="9" borderId="0" xfId="8" applyNumberFormat="1">
      <alignment horizontal="left" vertical="center"/>
    </xf>
    <xf numFmtId="2" fontId="4" fillId="9" borderId="6" xfId="8" applyNumberFormat="1" applyBorder="1">
      <alignment horizontal="left" vertical="center"/>
    </xf>
    <xf numFmtId="0" fontId="4" fillId="9" borderId="0" xfId="8" applyNumberFormat="1">
      <alignment horizontal="left" vertical="center"/>
    </xf>
    <xf numFmtId="0" fontId="4" fillId="9" borderId="6" xfId="8" applyNumberFormat="1" applyBorder="1">
      <alignment horizontal="left" vertical="center"/>
    </xf>
    <xf numFmtId="0" fontId="1" fillId="8" borderId="0" xfId="1" applyNumberFormat="1" applyFont="1"/>
    <xf numFmtId="0" fontId="1" fillId="3" borderId="2" xfId="3">
      <alignment horizontal="left" vertical="center"/>
      <protection locked="0"/>
    </xf>
    <xf numFmtId="0" fontId="7" fillId="9" borderId="2" xfId="6">
      <alignment horizontal="left" vertical="center" wrapText="1"/>
    </xf>
    <xf numFmtId="0" fontId="4" fillId="9" borderId="17" xfId="8" applyBorder="1">
      <alignment horizontal="left" vertical="center"/>
    </xf>
    <xf numFmtId="0" fontId="4" fillId="9" borderId="18" xfId="8" applyBorder="1">
      <alignment horizontal="left" vertical="center"/>
    </xf>
    <xf numFmtId="0" fontId="4" fillId="9" borderId="19" xfId="8" applyBorder="1">
      <alignment horizontal="left" vertical="center"/>
    </xf>
    <xf numFmtId="0" fontId="1" fillId="3" borderId="2" xfId="3">
      <alignment horizontal="left" vertical="center"/>
      <protection locked="0"/>
    </xf>
    <xf numFmtId="0" fontId="7" fillId="9" borderId="2" xfId="5">
      <alignment horizontal="center" vertical="center" wrapText="1"/>
    </xf>
    <xf numFmtId="0" fontId="1" fillId="4" borderId="2" xfId="4">
      <alignment horizontal="left"/>
    </xf>
    <xf numFmtId="0" fontId="1" fillId="3" borderId="2" xfId="3">
      <alignment horizontal="left" vertical="center"/>
      <protection locked="0"/>
    </xf>
    <xf numFmtId="0" fontId="1" fillId="3" borderId="2" xfId="3">
      <alignment horizontal="left" vertical="center"/>
      <protection locked="0"/>
    </xf>
    <xf numFmtId="0" fontId="7" fillId="9" borderId="2" xfId="5">
      <alignment horizontal="center" vertical="center" wrapText="1"/>
    </xf>
    <xf numFmtId="0" fontId="1" fillId="3" borderId="2" xfId="3">
      <alignment horizontal="left" vertical="center"/>
      <protection locked="0"/>
    </xf>
    <xf numFmtId="0" fontId="7" fillId="9" borderId="2" xfId="6">
      <alignment horizontal="left" vertical="center" wrapText="1"/>
    </xf>
    <xf numFmtId="0" fontId="1" fillId="4" borderId="2" xfId="4">
      <alignment horizontal="left"/>
    </xf>
    <xf numFmtId="0" fontId="1" fillId="3" borderId="2" xfId="3">
      <alignment horizontal="left" vertical="center"/>
      <protection locked="0"/>
    </xf>
    <xf numFmtId="0" fontId="1" fillId="3" borderId="2" xfId="3">
      <alignment horizontal="left" vertical="center"/>
      <protection locked="0"/>
    </xf>
    <xf numFmtId="0" fontId="7" fillId="9" borderId="2" xfId="6">
      <alignment horizontal="left" vertical="center" wrapText="1"/>
    </xf>
    <xf numFmtId="164" fontId="4" fillId="9" borderId="17" xfId="8" applyNumberFormat="1" applyBorder="1">
      <alignment horizontal="left" vertical="center"/>
    </xf>
    <xf numFmtId="164" fontId="4" fillId="9" borderId="18" xfId="8" applyNumberFormat="1" applyBorder="1">
      <alignment horizontal="left" vertical="center"/>
    </xf>
    <xf numFmtId="164" fontId="4" fillId="9" borderId="19" xfId="8" applyNumberFormat="1" applyBorder="1">
      <alignment horizontal="left" vertical="center"/>
    </xf>
    <xf numFmtId="0" fontId="1" fillId="3" borderId="2" xfId="3" applyBorder="1" applyAlignment="1">
      <alignment vertical="center"/>
      <protection locked="0"/>
    </xf>
    <xf numFmtId="0" fontId="7" fillId="9" borderId="2" xfId="6" applyAlignment="1">
      <alignment horizontal="right" vertical="center" wrapText="1"/>
    </xf>
    <xf numFmtId="0" fontId="7" fillId="9" borderId="2" xfId="5" applyBorder="1">
      <alignment horizontal="center" vertical="center" wrapText="1"/>
    </xf>
    <xf numFmtId="0" fontId="1" fillId="3" borderId="2" xfId="3" applyBorder="1" applyAlignment="1">
      <alignment horizontal="center" vertical="center"/>
      <protection locked="0"/>
    </xf>
    <xf numFmtId="0" fontId="1" fillId="3" borderId="2" xfId="3">
      <alignment horizontal="left" vertical="center"/>
      <protection locked="0"/>
    </xf>
    <xf numFmtId="0" fontId="7" fillId="9" borderId="2" xfId="5">
      <alignment horizontal="center" vertical="center" wrapText="1"/>
    </xf>
    <xf numFmtId="0" fontId="4" fillId="9" borderId="0" xfId="8" applyAlignment="1">
      <alignment horizontal="right" vertical="center"/>
    </xf>
    <xf numFmtId="0" fontId="1" fillId="8" borderId="0" xfId="1" applyFont="1" applyAlignment="1"/>
    <xf numFmtId="0" fontId="1" fillId="8" borderId="0" xfId="1" applyNumberFormat="1" applyFont="1" applyAlignment="1"/>
    <xf numFmtId="0" fontId="1" fillId="3" borderId="2" xfId="3">
      <alignment horizontal="left" vertical="center"/>
      <protection locked="0"/>
    </xf>
    <xf numFmtId="0" fontId="1" fillId="3" borderId="2" xfId="3">
      <alignment horizontal="left" vertical="center"/>
      <protection locked="0"/>
    </xf>
    <xf numFmtId="0" fontId="1" fillId="3" borderId="2" xfId="3">
      <alignment horizontal="left" vertical="center"/>
      <protection locked="0"/>
    </xf>
    <xf numFmtId="0" fontId="1" fillId="3" borderId="2" xfId="3">
      <alignment horizontal="left" vertical="center"/>
      <protection locked="0"/>
    </xf>
    <xf numFmtId="0" fontId="7" fillId="9" borderId="2" xfId="6" applyBorder="1">
      <alignment horizontal="left" vertical="center" wrapText="1"/>
    </xf>
    <xf numFmtId="0" fontId="1" fillId="3" borderId="2" xfId="3" applyBorder="1" applyAlignment="1">
      <alignment vertical="center" wrapText="1"/>
      <protection locked="0"/>
    </xf>
    <xf numFmtId="0" fontId="1" fillId="3" borderId="2" xfId="3" applyBorder="1" applyAlignment="1">
      <alignment horizontal="left" vertical="center"/>
      <protection locked="0"/>
    </xf>
    <xf numFmtId="0" fontId="5" fillId="8" borderId="0" xfId="1" applyFont="1"/>
    <xf numFmtId="0" fontId="1" fillId="3" borderId="2" xfId="3">
      <alignment horizontal="left" vertical="center"/>
      <protection locked="0"/>
    </xf>
    <xf numFmtId="0" fontId="7" fillId="9" borderId="2" xfId="5">
      <alignment horizontal="center" vertical="center" wrapText="1"/>
    </xf>
    <xf numFmtId="0" fontId="7" fillId="7" borderId="20" xfId="5" applyNumberFormat="1" applyFill="1" applyBorder="1">
      <alignment horizontal="center" vertical="center" wrapText="1"/>
    </xf>
    <xf numFmtId="0" fontId="7" fillId="9" borderId="20" xfId="5" applyNumberFormat="1" applyBorder="1">
      <alignment horizontal="center" vertical="center" wrapText="1"/>
    </xf>
    <xf numFmtId="0" fontId="7" fillId="9" borderId="20" xfId="5" applyBorder="1">
      <alignment horizontal="center" vertical="center" wrapText="1"/>
    </xf>
    <xf numFmtId="0" fontId="7" fillId="6" borderId="20" xfId="5" applyFill="1" applyBorder="1">
      <alignment horizontal="center" vertical="center" wrapText="1"/>
    </xf>
    <xf numFmtId="0" fontId="1" fillId="2" borderId="2" xfId="1" applyNumberFormat="1" applyFont="1" applyFill="1" applyBorder="1" applyAlignment="1"/>
    <xf numFmtId="1" fontId="1" fillId="2" borderId="2" xfId="1" applyNumberFormat="1" applyFont="1" applyFill="1" applyBorder="1" applyAlignment="1"/>
    <xf numFmtId="165" fontId="1" fillId="2" borderId="2" xfId="1" applyNumberFormat="1" applyFont="1" applyFill="1" applyBorder="1" applyAlignment="1"/>
    <xf numFmtId="49" fontId="1" fillId="2" borderId="2" xfId="1" applyNumberFormat="1" applyFont="1" applyFill="1" applyBorder="1" applyAlignment="1"/>
    <xf numFmtId="2" fontId="1" fillId="2" borderId="2" xfId="1" applyNumberFormat="1" applyFont="1" applyFill="1" applyBorder="1" applyAlignment="1"/>
    <xf numFmtId="164" fontId="1" fillId="2" borderId="2" xfId="1" applyNumberFormat="1" applyFont="1" applyFill="1" applyBorder="1" applyAlignment="1"/>
    <xf numFmtId="0" fontId="1" fillId="2" borderId="2" xfId="1" applyFont="1" applyFill="1" applyBorder="1" applyAlignment="1"/>
    <xf numFmtId="0" fontId="21" fillId="2" borderId="2" xfId="1" applyNumberFormat="1" applyFont="1" applyFill="1" applyBorder="1" applyAlignment="1"/>
    <xf numFmtId="0" fontId="22" fillId="2" borderId="2" xfId="1" applyFont="1" applyFill="1" applyBorder="1" applyAlignment="1"/>
    <xf numFmtId="0" fontId="22" fillId="13" borderId="2" xfId="1" applyFont="1" applyFill="1" applyBorder="1" applyAlignment="1"/>
    <xf numFmtId="0" fontId="11" fillId="3" borderId="2" xfId="2" applyAlignment="1">
      <alignment horizontal="center" vertical="center"/>
      <protection locked="0"/>
    </xf>
    <xf numFmtId="0" fontId="23" fillId="2" borderId="2" xfId="1" applyFont="1" applyFill="1" applyBorder="1" applyAlignment="1"/>
    <xf numFmtId="0" fontId="4" fillId="9" borderId="2" xfId="8" applyBorder="1" applyAlignment="1">
      <alignment horizontal="center" wrapText="1"/>
    </xf>
    <xf numFmtId="0" fontId="1" fillId="3" borderId="2" xfId="3">
      <alignment horizontal="left" vertical="center"/>
      <protection locked="0"/>
    </xf>
    <xf numFmtId="0" fontId="1" fillId="3" borderId="8" xfId="3" applyBorder="1">
      <alignment horizontal="left" vertical="center"/>
      <protection locked="0"/>
    </xf>
    <xf numFmtId="0" fontId="1" fillId="4" borderId="2" xfId="4">
      <alignment horizontal="left"/>
    </xf>
    <xf numFmtId="0" fontId="1" fillId="3" borderId="8" xfId="3" applyBorder="1" applyAlignment="1">
      <alignment horizontal="left" vertical="center" wrapText="1"/>
      <protection locked="0"/>
    </xf>
    <xf numFmtId="0" fontId="1" fillId="3" borderId="9" xfId="3" applyBorder="1" applyAlignment="1">
      <alignment horizontal="left" vertical="center" wrapText="1"/>
      <protection locked="0"/>
    </xf>
    <xf numFmtId="0" fontId="1" fillId="3" borderId="7" xfId="3" applyBorder="1" applyAlignment="1">
      <alignment horizontal="left" vertical="center" wrapText="1"/>
      <protection locked="0"/>
    </xf>
    <xf numFmtId="0" fontId="7" fillId="9" borderId="17" xfId="5" applyBorder="1" applyAlignment="1">
      <alignment horizontal="center" vertical="center" wrapText="1"/>
    </xf>
    <xf numFmtId="0" fontId="7" fillId="9" borderId="18" xfId="5" applyBorder="1" applyAlignment="1">
      <alignment horizontal="center" vertical="center" wrapText="1"/>
    </xf>
    <xf numFmtId="0" fontId="7" fillId="9" borderId="19" xfId="5" applyBorder="1" applyAlignment="1">
      <alignment horizontal="center" vertical="center" wrapText="1"/>
    </xf>
    <xf numFmtId="0" fontId="1" fillId="3" borderId="10" xfId="2" applyFont="1" applyBorder="1" applyAlignment="1">
      <alignment horizontal="left" vertical="top" wrapText="1"/>
      <protection locked="0"/>
    </xf>
    <xf numFmtId="0" fontId="1" fillId="3" borderId="16" xfId="2" applyFont="1" applyBorder="1" applyAlignment="1">
      <alignment horizontal="left" vertical="top" wrapText="1"/>
      <protection locked="0"/>
    </xf>
    <xf numFmtId="0" fontId="1" fillId="3" borderId="11" xfId="2" applyFont="1" applyBorder="1" applyAlignment="1">
      <alignment horizontal="left" vertical="top" wrapText="1"/>
      <protection locked="0"/>
    </xf>
    <xf numFmtId="0" fontId="1" fillId="3" borderId="12" xfId="2" applyFont="1" applyBorder="1" applyAlignment="1">
      <alignment horizontal="left" vertical="top" wrapText="1"/>
      <protection locked="0"/>
    </xf>
    <xf numFmtId="0" fontId="1" fillId="3" borderId="0" xfId="2" applyFont="1" applyBorder="1" applyAlignment="1">
      <alignment horizontal="left" vertical="top" wrapText="1"/>
      <protection locked="0"/>
    </xf>
    <xf numFmtId="0" fontId="1" fillId="3" borderId="13" xfId="2" applyFont="1" applyBorder="1" applyAlignment="1">
      <alignment horizontal="left" vertical="top" wrapText="1"/>
      <protection locked="0"/>
    </xf>
    <xf numFmtId="0" fontId="1" fillId="3" borderId="14" xfId="2" applyFont="1" applyBorder="1" applyAlignment="1">
      <alignment horizontal="left" vertical="top" wrapText="1"/>
      <protection locked="0"/>
    </xf>
    <xf numFmtId="0" fontId="1" fillId="3" borderId="1" xfId="2" applyFont="1" applyBorder="1" applyAlignment="1">
      <alignment horizontal="left" vertical="top" wrapText="1"/>
      <protection locked="0"/>
    </xf>
    <xf numFmtId="0" fontId="1" fillId="3" borderId="15" xfId="2" applyFont="1" applyBorder="1" applyAlignment="1">
      <alignment horizontal="left" vertical="top" wrapText="1"/>
      <protection locked="0"/>
    </xf>
    <xf numFmtId="0" fontId="7" fillId="9" borderId="2" xfId="5">
      <alignment horizontal="center" vertical="center" wrapText="1"/>
    </xf>
    <xf numFmtId="0" fontId="7" fillId="9" borderId="2" xfId="6">
      <alignment horizontal="left" vertical="center" wrapText="1"/>
    </xf>
    <xf numFmtId="0" fontId="4" fillId="9" borderId="0" xfId="8" applyAlignment="1">
      <alignment horizontal="center" vertical="center" wrapText="1"/>
    </xf>
    <xf numFmtId="0" fontId="1" fillId="4" borderId="2" xfId="4" applyAlignment="1">
      <alignment horizontal="left" vertical="center" wrapText="1"/>
    </xf>
    <xf numFmtId="0" fontId="7" fillId="9" borderId="10" xfId="5" applyBorder="1" applyAlignment="1">
      <alignment horizontal="center" vertical="center" wrapText="1"/>
    </xf>
    <xf numFmtId="0" fontId="7" fillId="9" borderId="16" xfId="5" applyBorder="1" applyAlignment="1">
      <alignment horizontal="center" vertical="center" wrapText="1"/>
    </xf>
    <xf numFmtId="0" fontId="7" fillId="9" borderId="11" xfId="5" applyBorder="1" applyAlignment="1">
      <alignment horizontal="center" vertical="center" wrapText="1"/>
    </xf>
    <xf numFmtId="0" fontId="7" fillId="9" borderId="12" xfId="5" applyBorder="1" applyAlignment="1">
      <alignment horizontal="center" vertical="center" wrapText="1"/>
    </xf>
    <xf numFmtId="0" fontId="7" fillId="9" borderId="0" xfId="5" applyBorder="1" applyAlignment="1">
      <alignment horizontal="center" vertical="center" wrapText="1"/>
    </xf>
    <xf numFmtId="0" fontId="7" fillId="9" borderId="13" xfId="5" applyBorder="1" applyAlignment="1">
      <alignment horizontal="center" vertical="center" wrapText="1"/>
    </xf>
    <xf numFmtId="0" fontId="7" fillId="9" borderId="14" xfId="5" applyBorder="1" applyAlignment="1">
      <alignment horizontal="center" vertical="center" wrapText="1"/>
    </xf>
    <xf numFmtId="0" fontId="7" fillId="9" borderId="1" xfId="5" applyBorder="1" applyAlignment="1">
      <alignment horizontal="center" vertical="center" wrapText="1"/>
    </xf>
    <xf numFmtId="0" fontId="7" fillId="9" borderId="15" xfId="5" applyBorder="1" applyAlignment="1">
      <alignment horizontal="center" vertical="center" wrapText="1"/>
    </xf>
  </cellXfs>
  <cellStyles count="15">
    <cellStyle name="BMD_Blank" xfId="1"/>
    <cellStyle name="BMD_Calc" xfId="4"/>
    <cellStyle name="BMD_ColName" xfId="10"/>
    <cellStyle name="BMD_Hyperlink" xfId="14"/>
    <cellStyle name="BMD_InputCenter" xfId="2"/>
    <cellStyle name="BMD_InputLeft" xfId="3"/>
    <cellStyle name="BMD_ModelName" xfId="12"/>
    <cellStyle name="BMD_ParamIn" xfId="13"/>
    <cellStyle name="BMD_SheetName" xfId="8"/>
    <cellStyle name="BMD_TblName" xfId="7"/>
    <cellStyle name="BMD_Unused" xfId="11"/>
    <cellStyle name="BMD_WBName" xfId="9"/>
    <cellStyle name="ColHeaderC" xfId="5"/>
    <cellStyle name="ColHeaderL" xfId="6"/>
    <cellStyle name="Normal" xfId="0" builtinId="0"/>
  </cellStyles>
  <dxfs count="0"/>
  <tableStyles count="0" defaultTableStyle="TableStyleMedium9" defaultPivotStyle="PivotStyleLight16"/>
  <colors>
    <mruColors>
      <color rgb="FFFFFFFF"/>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17" Type="http://schemas.openxmlformats.org/officeDocument/2006/relationships/customXml" Target="../customXml/item3.xml"/><Relationship Id="rId2" Type="http://schemas.openxmlformats.org/officeDocument/2006/relationships/worksheet" Target="worksheets/sheet2.xml"/><Relationship Id="rId16"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customXml" Target="../customXml/item1.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List" dx="15" fmlaLink="PullDown_ModelNum" fmlaRange="PullDown_List" noThreeD="1" sel="9" val="0"/>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drawings/_rels/drawing5.xml.rels><?xml version="1.0" encoding="UTF-8" standalone="yes"?>
<Relationships xmlns="http://schemas.openxmlformats.org/package/2006/relationships"><Relationship Id="rId8" Type="http://schemas.openxmlformats.org/officeDocument/2006/relationships/image" Target="../media/image16.emf"/><Relationship Id="rId3" Type="http://schemas.openxmlformats.org/officeDocument/2006/relationships/image" Target="../media/image11.emf"/><Relationship Id="rId7" Type="http://schemas.openxmlformats.org/officeDocument/2006/relationships/image" Target="../media/image15.emf"/><Relationship Id="rId2" Type="http://schemas.openxmlformats.org/officeDocument/2006/relationships/image" Target="../media/image10.emf"/><Relationship Id="rId1" Type="http://schemas.openxmlformats.org/officeDocument/2006/relationships/image" Target="../media/image9.emf"/><Relationship Id="rId6" Type="http://schemas.openxmlformats.org/officeDocument/2006/relationships/image" Target="../media/image14.emf"/><Relationship Id="rId5" Type="http://schemas.openxmlformats.org/officeDocument/2006/relationships/image" Target="../media/image13.emf"/><Relationship Id="rId4" Type="http://schemas.openxmlformats.org/officeDocument/2006/relationships/image" Target="../media/image12.emf"/></Relationships>
</file>

<file path=xl/drawings/_rels/vmlDrawing3.vml.rels><?xml version="1.0" encoding="UTF-8" standalone="yes"?>
<Relationships xmlns="http://schemas.openxmlformats.org/package/2006/relationships"><Relationship Id="rId8" Type="http://schemas.openxmlformats.org/officeDocument/2006/relationships/image" Target="../media/image8.emf"/><Relationship Id="rId3" Type="http://schemas.openxmlformats.org/officeDocument/2006/relationships/image" Target="../media/image3.emf"/><Relationship Id="rId7" Type="http://schemas.openxmlformats.org/officeDocument/2006/relationships/image" Target="../media/image7.emf"/><Relationship Id="rId2" Type="http://schemas.openxmlformats.org/officeDocument/2006/relationships/image" Target="../media/image2.emf"/><Relationship Id="rId1" Type="http://schemas.openxmlformats.org/officeDocument/2006/relationships/image" Target="../media/image1.emf"/><Relationship Id="rId6" Type="http://schemas.openxmlformats.org/officeDocument/2006/relationships/image" Target="../media/image6.emf"/><Relationship Id="rId5" Type="http://schemas.openxmlformats.org/officeDocument/2006/relationships/image" Target="../media/image5.emf"/><Relationship Id="rId4" Type="http://schemas.openxmlformats.org/officeDocument/2006/relationships/image" Target="../media/image4.emf"/></Relationships>
</file>

<file path=xl/drawings/drawing1.xml><?xml version="1.0" encoding="utf-8"?>
<xdr:wsDr xmlns:xdr="http://schemas.openxmlformats.org/drawingml/2006/spreadsheetDrawing" xmlns:a="http://schemas.openxmlformats.org/drawingml/2006/main">
  <xdr:twoCellAnchor>
    <xdr:from>
      <xdr:col>4</xdr:col>
      <xdr:colOff>846059</xdr:colOff>
      <xdr:row>21</xdr:row>
      <xdr:rowOff>3920</xdr:rowOff>
    </xdr:from>
    <xdr:to>
      <xdr:col>7</xdr:col>
      <xdr:colOff>975486</xdr:colOff>
      <xdr:row>34</xdr:row>
      <xdr:rowOff>11206</xdr:rowOff>
    </xdr:to>
    <xdr:grpSp>
      <xdr:nvGrpSpPr>
        <xdr:cNvPr id="8" name="Group 7"/>
        <xdr:cNvGrpSpPr/>
      </xdr:nvGrpSpPr>
      <xdr:grpSpPr>
        <a:xfrm>
          <a:off x="4941809" y="5671295"/>
          <a:ext cx="3872752" cy="2140886"/>
          <a:chOff x="4947412" y="5326714"/>
          <a:chExt cx="3860986" cy="2080374"/>
        </a:xfrm>
      </xdr:grpSpPr>
      <xdr:sp macro="" textlink="">
        <xdr:nvSpPr>
          <xdr:cNvPr id="2234" name="Rectangle 186"/>
          <xdr:cNvSpPr>
            <a:spLocks noChangeArrowheads="1"/>
          </xdr:cNvSpPr>
        </xdr:nvSpPr>
        <xdr:spPr bwMode="auto">
          <a:xfrm>
            <a:off x="4947412" y="5326714"/>
            <a:ext cx="3860986" cy="2080374"/>
          </a:xfrm>
          <a:prstGeom prst="rect">
            <a:avLst/>
          </a:prstGeom>
          <a:solidFill>
            <a:schemeClr val="tx2">
              <a:lumMod val="60000"/>
              <a:lumOff val="40000"/>
            </a:schemeClr>
          </a:solidFill>
          <a:ln w="25400">
            <a:solidFill>
              <a:srgbClr val="000000"/>
            </a:solidFill>
            <a:miter lim="800000"/>
            <a:headEnd/>
            <a:tailEnd/>
          </a:ln>
        </xdr:spPr>
        <xdr:txBody>
          <a:bodyPr vertOverflow="clip" wrap="square" lIns="45720" tIns="45720" rIns="45720" bIns="45720" anchor="t" upright="1"/>
          <a:lstStyle/>
          <a:p>
            <a:pPr algn="ctr" rtl="0">
              <a:defRPr sz="1000"/>
            </a:pPr>
            <a:r>
              <a:rPr lang="en-US" sz="1200" b="1" i="0" u="none" strike="noStrike" baseline="0">
                <a:solidFill>
                  <a:srgbClr val="FFFFFF"/>
                </a:solidFill>
                <a:latin typeface="Arial"/>
                <a:cs typeface="Arial"/>
              </a:rPr>
              <a:t>Color Coding for Model Option File Setup</a:t>
            </a:r>
          </a:p>
        </xdr:txBody>
      </xdr:sp>
      <xdr:sp macro="" textlink="">
        <xdr:nvSpPr>
          <xdr:cNvPr id="2202" name="Rectangle 154"/>
          <xdr:cNvSpPr>
            <a:spLocks noChangeArrowheads="1"/>
          </xdr:cNvSpPr>
        </xdr:nvSpPr>
        <xdr:spPr bwMode="auto">
          <a:xfrm>
            <a:off x="5068383" y="5645139"/>
            <a:ext cx="3598883" cy="350267"/>
          </a:xfrm>
          <a:prstGeom prst="rect">
            <a:avLst/>
          </a:prstGeom>
          <a:solidFill>
            <a:schemeClr val="accent4">
              <a:lumMod val="40000"/>
              <a:lumOff val="60000"/>
            </a:schemeClr>
          </a:solidFill>
          <a:ln w="12700">
            <a:solidFill>
              <a:srgbClr val="000000"/>
            </a:solidFill>
            <a:miter lim="800000"/>
            <a:headEnd/>
            <a:tailEnd/>
          </a:ln>
        </xdr:spPr>
        <xdr:txBody>
          <a:bodyPr vertOverflow="clip" wrap="square" lIns="27432" tIns="22860" rIns="0" bIns="22860" anchor="ctr" upright="1"/>
          <a:lstStyle/>
          <a:p>
            <a:pPr algn="l" rtl="0">
              <a:defRPr sz="1000"/>
            </a:pPr>
            <a:r>
              <a:rPr lang="en-US" sz="1000" b="0" i="0" u="none" strike="noStrike" baseline="0">
                <a:solidFill>
                  <a:srgbClr val="000000"/>
                </a:solidFill>
                <a:latin typeface="Arial"/>
                <a:cs typeface="Arial"/>
              </a:rPr>
              <a:t>Used for naming BMDS inputs and outputs </a:t>
            </a:r>
          </a:p>
          <a:p>
            <a:pPr algn="l" rtl="0">
              <a:defRPr sz="1000"/>
            </a:pPr>
            <a:r>
              <a:rPr lang="en-US" sz="1000" b="0" i="0" u="none" strike="noStrike" baseline="0">
                <a:solidFill>
                  <a:srgbClr val="000000"/>
                </a:solidFill>
                <a:latin typeface="Arial"/>
                <a:cs typeface="Arial"/>
              </a:rPr>
              <a:t>(not a BMDS input)</a:t>
            </a:r>
          </a:p>
        </xdr:txBody>
      </xdr:sp>
      <xdr:sp macro="" textlink="">
        <xdr:nvSpPr>
          <xdr:cNvPr id="2205" name="Rectangle 157"/>
          <xdr:cNvSpPr>
            <a:spLocks noChangeArrowheads="1"/>
          </xdr:cNvSpPr>
        </xdr:nvSpPr>
        <xdr:spPr bwMode="auto">
          <a:xfrm>
            <a:off x="5068383" y="5995406"/>
            <a:ext cx="3598883" cy="318425"/>
          </a:xfrm>
          <a:prstGeom prst="rect">
            <a:avLst/>
          </a:prstGeom>
          <a:solidFill>
            <a:schemeClr val="accent3">
              <a:lumMod val="40000"/>
              <a:lumOff val="60000"/>
            </a:schemeClr>
          </a:solidFill>
          <a:ln w="12700">
            <a:solidFill>
              <a:srgbClr val="000000"/>
            </a:solidFill>
            <a:miter lim="800000"/>
            <a:headEnd/>
            <a:tailEnd/>
          </a:ln>
        </xdr:spPr>
        <xdr:txBody>
          <a:bodyPr vertOverflow="clip" wrap="square" lIns="27432" tIns="22860" rIns="0" bIns="22860" anchor="ctr" upright="1"/>
          <a:lstStyle/>
          <a:p>
            <a:pPr algn="l" rtl="0">
              <a:defRPr sz="1000"/>
            </a:pPr>
            <a:r>
              <a:rPr lang="en-US" sz="1000" b="0" i="0" u="none" strike="noStrike" baseline="0">
                <a:solidFill>
                  <a:srgbClr val="000000"/>
                </a:solidFill>
                <a:latin typeface="Arial"/>
                <a:cs typeface="Arial"/>
              </a:rPr>
              <a:t>Input cell for selected model</a:t>
            </a:r>
          </a:p>
        </xdr:txBody>
      </xdr:sp>
      <xdr:sp macro="" textlink="">
        <xdr:nvSpPr>
          <xdr:cNvPr id="2206" name="Rectangle 158"/>
          <xdr:cNvSpPr>
            <a:spLocks noChangeArrowheads="1"/>
          </xdr:cNvSpPr>
        </xdr:nvSpPr>
        <xdr:spPr bwMode="auto">
          <a:xfrm>
            <a:off x="5068383" y="6313830"/>
            <a:ext cx="3598883" cy="371495"/>
          </a:xfrm>
          <a:prstGeom prst="rect">
            <a:avLst/>
          </a:prstGeom>
          <a:solidFill>
            <a:srgbClr val="969696"/>
          </a:solidFill>
          <a:ln w="12700">
            <a:solidFill>
              <a:srgbClr val="000000"/>
            </a:solidFill>
            <a:miter lim="800000"/>
            <a:headEnd/>
            <a:tailEnd/>
          </a:ln>
        </xdr:spPr>
        <xdr:txBody>
          <a:bodyPr vertOverflow="clip" wrap="square" lIns="27432" tIns="22860" rIns="0" bIns="22860" anchor="ctr" upright="1"/>
          <a:lstStyle/>
          <a:p>
            <a:pPr algn="l" rtl="0">
              <a:defRPr sz="1000"/>
            </a:pPr>
            <a:r>
              <a:rPr lang="en-US" sz="1000" b="0" i="0" u="none" strike="noStrike" baseline="0">
                <a:solidFill>
                  <a:srgbClr val="000000"/>
                </a:solidFill>
                <a:latin typeface="Arial"/>
                <a:cs typeface="Arial"/>
              </a:rPr>
              <a:t>Don't edit this value for the selected model; required to be empty or with fixed value.</a:t>
            </a:r>
          </a:p>
        </xdr:txBody>
      </xdr:sp>
      <xdr:sp macro="" textlink="">
        <xdr:nvSpPr>
          <xdr:cNvPr id="2207" name="Rectangle 159"/>
          <xdr:cNvSpPr>
            <a:spLocks noChangeArrowheads="1"/>
          </xdr:cNvSpPr>
        </xdr:nvSpPr>
        <xdr:spPr bwMode="auto">
          <a:xfrm>
            <a:off x="5068383" y="6685326"/>
            <a:ext cx="3598883" cy="605007"/>
          </a:xfrm>
          <a:prstGeom prst="rect">
            <a:avLst/>
          </a:prstGeom>
          <a:solidFill>
            <a:schemeClr val="accent6">
              <a:lumMod val="60000"/>
              <a:lumOff val="40000"/>
            </a:schemeClr>
          </a:solidFill>
          <a:ln w="12700">
            <a:solidFill>
              <a:srgbClr val="000000"/>
            </a:solidFill>
            <a:miter lim="800000"/>
            <a:headEnd/>
            <a:tailEnd/>
          </a:ln>
        </xdr:spPr>
        <xdr:txBody>
          <a:bodyPr vertOverflow="clip" wrap="square" lIns="27432" tIns="22860" rIns="0" bIns="22860" anchor="ctr" upright="1"/>
          <a:lstStyle/>
          <a:p>
            <a:pPr algn="l" rtl="0">
              <a:defRPr sz="1000"/>
            </a:pPr>
            <a:r>
              <a:rPr lang="en-US" sz="1000" b="0" i="0" u="none" strike="noStrike" baseline="0">
                <a:solidFill>
                  <a:srgbClr val="000000"/>
                </a:solidFill>
                <a:latin typeface="Arial"/>
                <a:cs typeface="Arial"/>
              </a:rPr>
              <a:t>In the default case ("Default,") values are auto-assigned. If you want to manually assign, type "Specified" or "Initialized", comma, then the value (ex. "Specified,1")</a:t>
            </a:r>
          </a:p>
        </xdr:txBody>
      </xdr:sp>
    </xdr:grpSp>
    <xdr:clientData/>
  </xdr:twoCellAnchor>
  <xdr:twoCellAnchor>
    <xdr:from>
      <xdr:col>5</xdr:col>
      <xdr:colOff>285750</xdr:colOff>
      <xdr:row>0</xdr:row>
      <xdr:rowOff>114300</xdr:rowOff>
    </xdr:from>
    <xdr:to>
      <xdr:col>7</xdr:col>
      <xdr:colOff>733425</xdr:colOff>
      <xdr:row>4</xdr:row>
      <xdr:rowOff>9525</xdr:rowOff>
    </xdr:to>
    <xdr:sp macro="" textlink="">
      <xdr:nvSpPr>
        <xdr:cNvPr id="10" name="Rectangle 186"/>
        <xdr:cNvSpPr>
          <a:spLocks noChangeArrowheads="1"/>
        </xdr:cNvSpPr>
      </xdr:nvSpPr>
      <xdr:spPr bwMode="auto">
        <a:xfrm>
          <a:off x="5629275" y="114300"/>
          <a:ext cx="2943225" cy="571500"/>
        </a:xfrm>
        <a:prstGeom prst="rect">
          <a:avLst/>
        </a:prstGeom>
        <a:solidFill>
          <a:schemeClr val="tx2">
            <a:lumMod val="60000"/>
            <a:lumOff val="40000"/>
          </a:schemeClr>
        </a:solidFill>
        <a:ln w="25400">
          <a:solidFill>
            <a:srgbClr val="000000"/>
          </a:solidFill>
          <a:miter lim="800000"/>
          <a:headEnd/>
          <a:tailEnd/>
        </a:ln>
      </xdr:spPr>
      <xdr:txBody>
        <a:bodyPr vertOverflow="clip" wrap="square" lIns="45720" tIns="45720" rIns="45720" bIns="45720" anchor="t" upright="1"/>
        <a:lstStyle/>
        <a:p>
          <a:pPr algn="ctr" rtl="0">
            <a:defRPr sz="1000"/>
          </a:pPr>
          <a:r>
            <a:rPr lang="en-US" sz="1200" b="1" i="0" u="none" strike="noStrike" baseline="0">
              <a:solidFill>
                <a:srgbClr val="FFFFFF"/>
              </a:solidFill>
              <a:latin typeface="Arial"/>
              <a:cs typeface="Arial"/>
            </a:rPr>
            <a:t>Cell Color Coding</a:t>
          </a:r>
        </a:p>
      </xdr:txBody>
    </xdr:sp>
    <xdr:clientData/>
  </xdr:twoCellAnchor>
  <xdr:twoCellAnchor>
    <xdr:from>
      <xdr:col>6</xdr:col>
      <xdr:colOff>501972</xdr:colOff>
      <xdr:row>2</xdr:row>
      <xdr:rowOff>11466</xdr:rowOff>
    </xdr:from>
    <xdr:to>
      <xdr:col>7</xdr:col>
      <xdr:colOff>625797</xdr:colOff>
      <xdr:row>3</xdr:row>
      <xdr:rowOff>97191</xdr:rowOff>
    </xdr:to>
    <xdr:sp macro="" textlink="">
      <xdr:nvSpPr>
        <xdr:cNvPr id="11" name="Rectangle 154"/>
        <xdr:cNvSpPr>
          <a:spLocks noChangeArrowheads="1"/>
        </xdr:cNvSpPr>
      </xdr:nvSpPr>
      <xdr:spPr bwMode="auto">
        <a:xfrm>
          <a:off x="7093272" y="382941"/>
          <a:ext cx="1371600" cy="228600"/>
        </a:xfrm>
        <a:prstGeom prst="rect">
          <a:avLst/>
        </a:prstGeom>
        <a:solidFill>
          <a:schemeClr val="accent1">
            <a:lumMod val="40000"/>
            <a:lumOff val="60000"/>
          </a:schemeClr>
        </a:solidFill>
        <a:ln w="12700">
          <a:solidFill>
            <a:srgbClr val="000000"/>
          </a:solidFill>
          <a:miter lim="800000"/>
          <a:headEnd/>
          <a:tailEnd/>
        </a:ln>
      </xdr:spPr>
      <xdr:txBody>
        <a:bodyPr vertOverflow="clip" wrap="square" lIns="27432" tIns="22860" rIns="0" bIns="22860" anchor="ctr" upright="1"/>
        <a:lstStyle/>
        <a:p>
          <a:pPr algn="ctr" rtl="0">
            <a:defRPr sz="1000"/>
          </a:pPr>
          <a:r>
            <a:rPr lang="en-US" sz="1000" b="1" i="0" u="none" strike="noStrike" baseline="0">
              <a:solidFill>
                <a:srgbClr val="000000"/>
              </a:solidFill>
              <a:latin typeface="Arial"/>
              <a:cs typeface="Arial"/>
            </a:rPr>
            <a:t>Calculated Cells</a:t>
          </a:r>
        </a:p>
      </xdr:txBody>
    </xdr:sp>
    <xdr:clientData/>
  </xdr:twoCellAnchor>
  <xdr:twoCellAnchor>
    <xdr:from>
      <xdr:col>5</xdr:col>
      <xdr:colOff>378147</xdr:colOff>
      <xdr:row>2</xdr:row>
      <xdr:rowOff>11466</xdr:rowOff>
    </xdr:from>
    <xdr:to>
      <xdr:col>6</xdr:col>
      <xdr:colOff>501972</xdr:colOff>
      <xdr:row>3</xdr:row>
      <xdr:rowOff>97191</xdr:rowOff>
    </xdr:to>
    <xdr:sp macro="" textlink="">
      <xdr:nvSpPr>
        <xdr:cNvPr id="12" name="Rectangle 157"/>
        <xdr:cNvSpPr>
          <a:spLocks noChangeArrowheads="1"/>
        </xdr:cNvSpPr>
      </xdr:nvSpPr>
      <xdr:spPr bwMode="auto">
        <a:xfrm>
          <a:off x="5721672" y="382941"/>
          <a:ext cx="1371600" cy="228600"/>
        </a:xfrm>
        <a:prstGeom prst="rect">
          <a:avLst/>
        </a:prstGeom>
        <a:solidFill>
          <a:schemeClr val="accent3">
            <a:lumMod val="40000"/>
            <a:lumOff val="60000"/>
          </a:schemeClr>
        </a:solidFill>
        <a:ln w="12700">
          <a:solidFill>
            <a:srgbClr val="000000"/>
          </a:solidFill>
          <a:miter lim="800000"/>
          <a:headEnd/>
          <a:tailEnd/>
        </a:ln>
      </xdr:spPr>
      <xdr:txBody>
        <a:bodyPr vertOverflow="clip" wrap="square" lIns="27432" tIns="22860" rIns="0" bIns="22860" anchor="ctr" upright="1"/>
        <a:lstStyle/>
        <a:p>
          <a:pPr algn="ctr" rtl="0">
            <a:defRPr sz="1000"/>
          </a:pPr>
          <a:r>
            <a:rPr lang="en-US" sz="1000" b="1" i="0" u="none" strike="noStrike" baseline="0">
              <a:solidFill>
                <a:srgbClr val="000000"/>
              </a:solidFill>
              <a:latin typeface="Arial"/>
              <a:cs typeface="Arial"/>
            </a:rPr>
            <a:t>Input Cells</a:t>
          </a:r>
        </a:p>
      </xdr:txBody>
    </xdr:sp>
    <xdr:clientData/>
  </xdr:twoCellAnchor>
  <mc:AlternateContent xmlns:mc="http://schemas.openxmlformats.org/markup-compatibility/2006">
    <mc:Choice xmlns:a14="http://schemas.microsoft.com/office/drawing/2010/main" Requires="a14">
      <xdr:twoCellAnchor>
        <xdr:from>
          <xdr:col>1</xdr:col>
          <xdr:colOff>142875</xdr:colOff>
          <xdr:row>7</xdr:row>
          <xdr:rowOff>85725</xdr:rowOff>
        </xdr:from>
        <xdr:to>
          <xdr:col>1</xdr:col>
          <xdr:colOff>1257300</xdr:colOff>
          <xdr:row>7</xdr:row>
          <xdr:rowOff>638175</xdr:rowOff>
        </xdr:to>
        <xdr:sp macro="" textlink="">
          <xdr:nvSpPr>
            <xdr:cNvPr id="2049" name="Button 1" hidden="1">
              <a:extLst>
                <a:ext uri="{63B3BB69-23CF-44E3-9099-C40C66FF867C}">
                  <a14:compatExt spid="_x0000_s204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1) Setup Instructions </a:t>
              </a: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114300</xdr:colOff>
          <xdr:row>21</xdr:row>
          <xdr:rowOff>104775</xdr:rowOff>
        </xdr:from>
        <xdr:to>
          <xdr:col>3</xdr:col>
          <xdr:colOff>1133475</xdr:colOff>
          <xdr:row>26</xdr:row>
          <xdr:rowOff>123825</xdr:rowOff>
        </xdr:to>
        <xdr:sp macro="" textlink="">
          <xdr:nvSpPr>
            <xdr:cNvPr id="2054" name="Button 6" hidden="1">
              <a:extLst>
                <a:ext uri="{63B3BB69-23CF-44E3-9099-C40C66FF867C}">
                  <a14:compatExt spid="_x0000_s205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Add Model &amp; Load Model Defaults</a:t>
              </a: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114300</xdr:colOff>
          <xdr:row>27</xdr:row>
          <xdr:rowOff>123825</xdr:rowOff>
        </xdr:from>
        <xdr:to>
          <xdr:col>3</xdr:col>
          <xdr:colOff>1133475</xdr:colOff>
          <xdr:row>33</xdr:row>
          <xdr:rowOff>19050</xdr:rowOff>
        </xdr:to>
        <xdr:sp macro="" textlink="">
          <xdr:nvSpPr>
            <xdr:cNvPr id="2101" name="Button 53" hidden="1">
              <a:extLst>
                <a:ext uri="{63B3BB69-23CF-44E3-9099-C40C66FF867C}">
                  <a14:compatExt spid="_x0000_s210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Clear All </a:t>
              </a:r>
            </a:p>
            <a:p>
              <a:pPr algn="ctr" rtl="0">
                <a:defRPr sz="1000"/>
              </a:pPr>
              <a:r>
                <a:rPr lang="en-US" sz="1000" b="1" i="0" u="none" strike="noStrike" baseline="0">
                  <a:solidFill>
                    <a:srgbClr val="000000"/>
                  </a:solidFill>
                  <a:latin typeface="Arial"/>
                  <a:cs typeface="Arial"/>
                </a:rPr>
                <a:t>Models</a:t>
              </a: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1428750</xdr:colOff>
          <xdr:row>7</xdr:row>
          <xdr:rowOff>85725</xdr:rowOff>
        </xdr:from>
        <xdr:to>
          <xdr:col>2</xdr:col>
          <xdr:colOff>533400</xdr:colOff>
          <xdr:row>7</xdr:row>
          <xdr:rowOff>638175</xdr:rowOff>
        </xdr:to>
        <xdr:sp macro="" textlink="">
          <xdr:nvSpPr>
            <xdr:cNvPr id="2135" name="Button 87" hidden="1">
              <a:extLst>
                <a:ext uri="{63B3BB69-23CF-44E3-9099-C40C66FF867C}">
                  <a14:compatExt spid="_x0000_s213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2) Build </a:t>
              </a:r>
            </a:p>
            <a:p>
              <a:pPr algn="ctr" rtl="0">
                <a:defRPr sz="1000"/>
              </a:pPr>
              <a:r>
                <a:rPr lang="en-US" sz="1000" b="1" i="0" u="none" strike="noStrike" baseline="0">
                  <a:solidFill>
                    <a:srgbClr val="000000"/>
                  </a:solidFill>
                  <a:latin typeface="Arial"/>
                  <a:cs typeface="Arial"/>
                </a:rPr>
                <a:t>Session</a:t>
              </a: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1238250</xdr:colOff>
          <xdr:row>7</xdr:row>
          <xdr:rowOff>85725</xdr:rowOff>
        </xdr:from>
        <xdr:to>
          <xdr:col>4</xdr:col>
          <xdr:colOff>1095375</xdr:colOff>
          <xdr:row>7</xdr:row>
          <xdr:rowOff>638175</xdr:rowOff>
        </xdr:to>
        <xdr:sp macro="" textlink="">
          <xdr:nvSpPr>
            <xdr:cNvPr id="2136" name="Button 88" hidden="1">
              <a:extLst>
                <a:ext uri="{63B3BB69-23CF-44E3-9099-C40C66FF867C}">
                  <a14:compatExt spid="_x0000_s213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4) Import</a:t>
              </a:r>
            </a:p>
            <a:p>
              <a:pPr algn="ctr" rtl="0">
                <a:defRPr sz="1000"/>
              </a:pPr>
              <a:r>
                <a:rPr lang="en-US" sz="1000" b="1" i="0" u="none" strike="noStrike" baseline="0">
                  <a:solidFill>
                    <a:srgbClr val="000000"/>
                  </a:solidFill>
                  <a:latin typeface="Arial"/>
                  <a:cs typeface="Arial"/>
                </a:rPr>
                <a:t> Results </a:t>
              </a: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676275</xdr:colOff>
          <xdr:row>7</xdr:row>
          <xdr:rowOff>85725</xdr:rowOff>
        </xdr:from>
        <xdr:to>
          <xdr:col>3</xdr:col>
          <xdr:colOff>1076325</xdr:colOff>
          <xdr:row>7</xdr:row>
          <xdr:rowOff>628650</xdr:rowOff>
        </xdr:to>
        <xdr:sp macro="" textlink="">
          <xdr:nvSpPr>
            <xdr:cNvPr id="2137" name="Button 89" hidden="1">
              <a:extLst>
                <a:ext uri="{63B3BB69-23CF-44E3-9099-C40C66FF867C}">
                  <a14:compatExt spid="_x0000_s213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3) Run Session in BMDS</a:t>
              </a: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57150</xdr:colOff>
          <xdr:row>7</xdr:row>
          <xdr:rowOff>85725</xdr:rowOff>
        </xdr:from>
        <xdr:to>
          <xdr:col>5</xdr:col>
          <xdr:colOff>1162050</xdr:colOff>
          <xdr:row>7</xdr:row>
          <xdr:rowOff>638175</xdr:rowOff>
        </xdr:to>
        <xdr:sp macro="" textlink="">
          <xdr:nvSpPr>
            <xdr:cNvPr id="2156" name="Button 108" hidden="1">
              <a:extLst>
                <a:ext uri="{63B3BB69-23CF-44E3-9099-C40C66FF867C}">
                  <a14:compatExt spid="_x0000_s215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AUTORUN</a:t>
              </a: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66675</xdr:colOff>
          <xdr:row>21</xdr:row>
          <xdr:rowOff>47625</xdr:rowOff>
        </xdr:from>
        <xdr:to>
          <xdr:col>2</xdr:col>
          <xdr:colOff>609600</xdr:colOff>
          <xdr:row>33</xdr:row>
          <xdr:rowOff>114300</xdr:rowOff>
        </xdr:to>
        <xdr:sp macro="" textlink="">
          <xdr:nvSpPr>
            <xdr:cNvPr id="2161" name="List Box 113" hidden="1">
              <a:extLst>
                <a:ext uri="{63B3BB69-23CF-44E3-9099-C40C66FF867C}">
                  <a14:compatExt spid="_x0000_s216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152400</xdr:colOff>
          <xdr:row>11</xdr:row>
          <xdr:rowOff>66675</xdr:rowOff>
        </xdr:from>
        <xdr:to>
          <xdr:col>5</xdr:col>
          <xdr:colOff>1114425</xdr:colOff>
          <xdr:row>11</xdr:row>
          <xdr:rowOff>276225</xdr:rowOff>
        </xdr:to>
        <xdr:sp macro="" textlink="">
          <xdr:nvSpPr>
            <xdr:cNvPr id="2164" name="Button 116" hidden="1">
              <a:extLst>
                <a:ext uri="{63B3BB69-23CF-44E3-9099-C40C66FF867C}">
                  <a14:compatExt spid="_x0000_s216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Select Folder</a:t>
              </a: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152400</xdr:colOff>
          <xdr:row>7</xdr:row>
          <xdr:rowOff>66675</xdr:rowOff>
        </xdr:from>
        <xdr:to>
          <xdr:col>6</xdr:col>
          <xdr:colOff>1114425</xdr:colOff>
          <xdr:row>7</xdr:row>
          <xdr:rowOff>647700</xdr:rowOff>
        </xdr:to>
        <xdr:sp macro="" textlink="">
          <xdr:nvSpPr>
            <xdr:cNvPr id="2168" name="Button 120" hidden="1">
              <a:extLst>
                <a:ext uri="{63B3BB69-23CF-44E3-9099-C40C66FF867C}">
                  <a14:compatExt spid="_x0000_s216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Export XML</a:t>
              </a: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152400</xdr:colOff>
          <xdr:row>12</xdr:row>
          <xdr:rowOff>47625</xdr:rowOff>
        </xdr:from>
        <xdr:to>
          <xdr:col>8</xdr:col>
          <xdr:colOff>1133475</xdr:colOff>
          <xdr:row>12</xdr:row>
          <xdr:rowOff>304800</xdr:rowOff>
        </xdr:to>
        <xdr:sp macro="" textlink="">
          <xdr:nvSpPr>
            <xdr:cNvPr id="2173" name="Button 125" hidden="1">
              <a:extLst>
                <a:ext uri="{63B3BB69-23CF-44E3-9099-C40C66FF867C}">
                  <a14:compatExt spid="_x0000_s217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Load Inputs from DB</a:t>
              </a:r>
              <a:endParaRPr lang="en-US"/>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3</xdr:col>
      <xdr:colOff>723899</xdr:colOff>
      <xdr:row>0</xdr:row>
      <xdr:rowOff>133351</xdr:rowOff>
    </xdr:from>
    <xdr:to>
      <xdr:col>5</xdr:col>
      <xdr:colOff>847724</xdr:colOff>
      <xdr:row>4</xdr:row>
      <xdr:rowOff>28576</xdr:rowOff>
    </xdr:to>
    <xdr:grpSp>
      <xdr:nvGrpSpPr>
        <xdr:cNvPr id="8" name="Group 7"/>
        <xdr:cNvGrpSpPr/>
      </xdr:nvGrpSpPr>
      <xdr:grpSpPr>
        <a:xfrm>
          <a:off x="3676649" y="133351"/>
          <a:ext cx="2943225" cy="571500"/>
          <a:chOff x="3552824" y="133351"/>
          <a:chExt cx="2943225" cy="571500"/>
        </a:xfrm>
      </xdr:grpSpPr>
      <xdr:sp macro="" textlink="">
        <xdr:nvSpPr>
          <xdr:cNvPr id="3" name="Rectangle 186"/>
          <xdr:cNvSpPr>
            <a:spLocks noChangeArrowheads="1"/>
          </xdr:cNvSpPr>
        </xdr:nvSpPr>
        <xdr:spPr bwMode="auto">
          <a:xfrm>
            <a:off x="3552824" y="133351"/>
            <a:ext cx="2943225" cy="571500"/>
          </a:xfrm>
          <a:prstGeom prst="rect">
            <a:avLst/>
          </a:prstGeom>
          <a:solidFill>
            <a:schemeClr val="tx2">
              <a:lumMod val="60000"/>
              <a:lumOff val="40000"/>
            </a:schemeClr>
          </a:solidFill>
          <a:ln w="25400">
            <a:solidFill>
              <a:srgbClr val="000000"/>
            </a:solidFill>
            <a:miter lim="800000"/>
            <a:headEnd/>
            <a:tailEnd/>
          </a:ln>
        </xdr:spPr>
        <xdr:txBody>
          <a:bodyPr vertOverflow="clip" wrap="square" lIns="45720" tIns="45720" rIns="45720" bIns="45720" anchor="t" upright="1"/>
          <a:lstStyle/>
          <a:p>
            <a:pPr algn="ctr" rtl="0">
              <a:defRPr sz="1000"/>
            </a:pPr>
            <a:r>
              <a:rPr lang="en-US" sz="1200" b="1" i="0" u="none" strike="noStrike" baseline="0">
                <a:solidFill>
                  <a:srgbClr val="FFFFFF"/>
                </a:solidFill>
                <a:latin typeface="Arial"/>
                <a:cs typeface="Arial"/>
              </a:rPr>
              <a:t>Cell Color Coding</a:t>
            </a:r>
          </a:p>
        </xdr:txBody>
      </xdr:sp>
      <xdr:sp macro="" textlink="">
        <xdr:nvSpPr>
          <xdr:cNvPr id="4" name="Rectangle 154"/>
          <xdr:cNvSpPr>
            <a:spLocks noChangeArrowheads="1"/>
          </xdr:cNvSpPr>
        </xdr:nvSpPr>
        <xdr:spPr bwMode="auto">
          <a:xfrm>
            <a:off x="5016821" y="401992"/>
            <a:ext cx="1371600" cy="228600"/>
          </a:xfrm>
          <a:prstGeom prst="rect">
            <a:avLst/>
          </a:prstGeom>
          <a:solidFill>
            <a:schemeClr val="accent1">
              <a:lumMod val="40000"/>
              <a:lumOff val="60000"/>
            </a:schemeClr>
          </a:solidFill>
          <a:ln w="12700">
            <a:solidFill>
              <a:srgbClr val="000000"/>
            </a:solidFill>
            <a:miter lim="800000"/>
            <a:headEnd/>
            <a:tailEnd/>
          </a:ln>
        </xdr:spPr>
        <xdr:txBody>
          <a:bodyPr vertOverflow="clip" wrap="square" lIns="27432" tIns="22860" rIns="0" bIns="22860" anchor="ctr" upright="1"/>
          <a:lstStyle/>
          <a:p>
            <a:pPr algn="ctr" rtl="0">
              <a:defRPr sz="1000"/>
            </a:pPr>
            <a:r>
              <a:rPr lang="en-US" sz="1000" b="1" i="0" u="none" strike="noStrike" baseline="0">
                <a:solidFill>
                  <a:srgbClr val="000000"/>
                </a:solidFill>
                <a:latin typeface="Arial"/>
                <a:cs typeface="Arial"/>
              </a:rPr>
              <a:t>Calculated Cells</a:t>
            </a:r>
          </a:p>
        </xdr:txBody>
      </xdr:sp>
      <xdr:sp macro="" textlink="">
        <xdr:nvSpPr>
          <xdr:cNvPr id="5" name="Rectangle 157"/>
          <xdr:cNvSpPr>
            <a:spLocks noChangeArrowheads="1"/>
          </xdr:cNvSpPr>
        </xdr:nvSpPr>
        <xdr:spPr bwMode="auto">
          <a:xfrm>
            <a:off x="3645221" y="401992"/>
            <a:ext cx="1371600" cy="228600"/>
          </a:xfrm>
          <a:prstGeom prst="rect">
            <a:avLst/>
          </a:prstGeom>
          <a:solidFill>
            <a:schemeClr val="accent3">
              <a:lumMod val="40000"/>
              <a:lumOff val="60000"/>
            </a:schemeClr>
          </a:solidFill>
          <a:ln w="12700">
            <a:solidFill>
              <a:srgbClr val="000000"/>
            </a:solidFill>
            <a:miter lim="800000"/>
            <a:headEnd/>
            <a:tailEnd/>
          </a:ln>
        </xdr:spPr>
        <xdr:txBody>
          <a:bodyPr vertOverflow="clip" wrap="square" lIns="27432" tIns="22860" rIns="0" bIns="22860" anchor="ctr" upright="1"/>
          <a:lstStyle/>
          <a:p>
            <a:pPr algn="ctr" rtl="0">
              <a:defRPr sz="1000"/>
            </a:pPr>
            <a:r>
              <a:rPr lang="en-US" sz="1000" b="1" i="0" u="none" strike="noStrike" baseline="0">
                <a:solidFill>
                  <a:srgbClr val="000000"/>
                </a:solidFill>
                <a:latin typeface="Arial"/>
                <a:cs typeface="Arial"/>
              </a:rPr>
              <a:t>Input Cells</a:t>
            </a:r>
          </a:p>
        </xdr:txBody>
      </xdr:sp>
    </xdr:grpSp>
    <xdr:clientData/>
  </xdr:twoCellAnchor>
  <mc:AlternateContent xmlns:mc="http://schemas.openxmlformats.org/markup-compatibility/2006">
    <mc:Choice xmlns:a14="http://schemas.microsoft.com/office/drawing/2010/main" Requires="a14">
      <xdr:twoCellAnchor>
        <xdr:from>
          <xdr:col>6</xdr:col>
          <xdr:colOff>133350</xdr:colOff>
          <xdr:row>1</xdr:row>
          <xdr:rowOff>66675</xdr:rowOff>
        </xdr:from>
        <xdr:to>
          <xdr:col>6</xdr:col>
          <xdr:colOff>1295400</xdr:colOff>
          <xdr:row>3</xdr:row>
          <xdr:rowOff>95250</xdr:rowOff>
        </xdr:to>
        <xdr:sp macro="" textlink="">
          <xdr:nvSpPr>
            <xdr:cNvPr id="22530" name="Button 2" hidden="1">
              <a:extLst>
                <a:ext uri="{63B3BB69-23CF-44E3-9099-C40C66FF867C}">
                  <a14:compatExt spid="_x0000_s2253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Clear Data</a:t>
              </a:r>
              <a:endParaRPr lang="en-US"/>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47625</xdr:colOff>
          <xdr:row>7</xdr:row>
          <xdr:rowOff>400050</xdr:rowOff>
        </xdr:from>
        <xdr:to>
          <xdr:col>2</xdr:col>
          <xdr:colOff>723900</xdr:colOff>
          <xdr:row>7</xdr:row>
          <xdr:rowOff>666750</xdr:rowOff>
        </xdr:to>
        <xdr:sp macro="" textlink="">
          <xdr:nvSpPr>
            <xdr:cNvPr id="9122" name="Button 5026" hidden="1">
              <a:extLst>
                <a:ext uri="{63B3BB69-23CF-44E3-9099-C40C66FF867C}">
                  <a14:compatExt spid="_x0000_s912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Update</a:t>
              </a: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104775</xdr:colOff>
          <xdr:row>1</xdr:row>
          <xdr:rowOff>76200</xdr:rowOff>
        </xdr:from>
        <xdr:to>
          <xdr:col>9</xdr:col>
          <xdr:colOff>295275</xdr:colOff>
          <xdr:row>3</xdr:row>
          <xdr:rowOff>85725</xdr:rowOff>
        </xdr:to>
        <xdr:sp macro="" textlink="">
          <xdr:nvSpPr>
            <xdr:cNvPr id="13999" name="Button 7855" hidden="1">
              <a:extLst>
                <a:ext uri="{63B3BB69-23CF-44E3-9099-C40C66FF867C}">
                  <a14:compatExt spid="_x0000_s1399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Import Results</a:t>
              </a: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428625</xdr:colOff>
          <xdr:row>1</xdr:row>
          <xdr:rowOff>76200</xdr:rowOff>
        </xdr:from>
        <xdr:to>
          <xdr:col>10</xdr:col>
          <xdr:colOff>542925</xdr:colOff>
          <xdr:row>3</xdr:row>
          <xdr:rowOff>85725</xdr:rowOff>
        </xdr:to>
        <xdr:sp macro="" textlink="">
          <xdr:nvSpPr>
            <xdr:cNvPr id="14028" name="Button 7884" hidden="1">
              <a:extLst>
                <a:ext uri="{63B3BB69-23CF-44E3-9099-C40C66FF867C}">
                  <a14:compatExt spid="_x0000_s1402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Clear Results </a:t>
              </a: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25</xdr:col>
          <xdr:colOff>152400</xdr:colOff>
          <xdr:row>1</xdr:row>
          <xdr:rowOff>57150</xdr:rowOff>
        </xdr:from>
        <xdr:to>
          <xdr:col>26</xdr:col>
          <xdr:colOff>581025</xdr:colOff>
          <xdr:row>3</xdr:row>
          <xdr:rowOff>85725</xdr:rowOff>
        </xdr:to>
        <xdr:sp macro="" textlink="">
          <xdr:nvSpPr>
            <xdr:cNvPr id="14992" name="Button 8848" hidden="1">
              <a:extLst>
                <a:ext uri="{63B3BB69-23CF-44E3-9099-C40C66FF867C}">
                  <a14:compatExt spid="_x0000_s1499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Recalculate Recommendations</a:t>
              </a: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32</xdr:col>
          <xdr:colOff>76200</xdr:colOff>
          <xdr:row>1</xdr:row>
          <xdr:rowOff>66675</xdr:rowOff>
        </xdr:from>
        <xdr:to>
          <xdr:col>32</xdr:col>
          <xdr:colOff>695325</xdr:colOff>
          <xdr:row>3</xdr:row>
          <xdr:rowOff>95250</xdr:rowOff>
        </xdr:to>
        <xdr:sp macro="" textlink="">
          <xdr:nvSpPr>
            <xdr:cNvPr id="15142" name="Button 8998" hidden="1">
              <a:extLst>
                <a:ext uri="{63B3BB69-23CF-44E3-9099-C40C66FF867C}">
                  <a14:compatExt spid="_x0000_s1514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Create Report</a:t>
              </a: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95250</xdr:colOff>
          <xdr:row>1</xdr:row>
          <xdr:rowOff>76200</xdr:rowOff>
        </xdr:from>
        <xdr:to>
          <xdr:col>20</xdr:col>
          <xdr:colOff>571500</xdr:colOff>
          <xdr:row>3</xdr:row>
          <xdr:rowOff>85725</xdr:rowOff>
        </xdr:to>
        <xdr:sp macro="" textlink="">
          <xdr:nvSpPr>
            <xdr:cNvPr id="15159" name="Button 9015" hidden="1">
              <a:extLst>
                <a:ext uri="{63B3BB69-23CF-44E3-9099-C40C66FF867C}">
                  <a14:compatExt spid="_x0000_s1515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View Output Images</a:t>
              </a:r>
              <a:endParaRPr lang="en-US"/>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66675</xdr:colOff>
          <xdr:row>1</xdr:row>
          <xdr:rowOff>57150</xdr:rowOff>
        </xdr:from>
        <xdr:to>
          <xdr:col>2</xdr:col>
          <xdr:colOff>1514475</xdr:colOff>
          <xdr:row>3</xdr:row>
          <xdr:rowOff>95250</xdr:rowOff>
        </xdr:to>
        <xdr:sp macro="" textlink="">
          <xdr:nvSpPr>
            <xdr:cNvPr id="15380" name="Button 20" hidden="1">
              <a:extLst>
                <a:ext uri="{63B3BB69-23CF-44E3-9099-C40C66FF867C}">
                  <a14:compatExt spid="_x0000_s1538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Print Word Report</a:t>
              </a: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85725</xdr:colOff>
          <xdr:row>16</xdr:row>
          <xdr:rowOff>66675</xdr:rowOff>
        </xdr:from>
        <xdr:to>
          <xdr:col>6</xdr:col>
          <xdr:colOff>533400</xdr:colOff>
          <xdr:row>17</xdr:row>
          <xdr:rowOff>104775</xdr:rowOff>
        </xdr:to>
        <xdr:sp macro="" textlink="">
          <xdr:nvSpPr>
            <xdr:cNvPr id="15382" name="Button 22" hidden="1">
              <a:extLst>
                <a:ext uri="{63B3BB69-23CF-44E3-9099-C40C66FF867C}">
                  <a14:compatExt spid="_x0000_s1538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Select MS Word Template</a:t>
              </a: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85725</xdr:colOff>
          <xdr:row>20</xdr:row>
          <xdr:rowOff>133350</xdr:rowOff>
        </xdr:from>
        <xdr:to>
          <xdr:col>6</xdr:col>
          <xdr:colOff>552450</xdr:colOff>
          <xdr:row>22</xdr:row>
          <xdr:rowOff>38100</xdr:rowOff>
        </xdr:to>
        <xdr:sp macro="" textlink="">
          <xdr:nvSpPr>
            <xdr:cNvPr id="15383" name="Button 23" hidden="1">
              <a:extLst>
                <a:ext uri="{63B3BB69-23CF-44E3-9099-C40C66FF867C}">
                  <a14:compatExt spid="_x0000_s1538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Select/Create MS Word Output File</a:t>
              </a:r>
              <a:endParaRPr lang="en-US"/>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twoCellAnchor editAs="oneCell">
    <xdr:from>
      <xdr:col>5</xdr:col>
      <xdr:colOff>0</xdr:colOff>
      <xdr:row>7</xdr:row>
      <xdr:rowOff>0</xdr:rowOff>
    </xdr:from>
    <xdr:to>
      <xdr:col>13</xdr:col>
      <xdr:colOff>0</xdr:colOff>
      <xdr:row>30</xdr:row>
      <xdr:rowOff>0</xdr:rowOff>
    </xdr:to>
    <xdr:pic>
      <xdr:nvPicPr>
        <xdr:cNvPr id="13" name="EMF9"/>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7924800" y="1285875"/>
          <a:ext cx="4876800" cy="3724275"/>
        </a:xfrm>
        <a:prstGeom prst="rect">
          <a:avLst/>
        </a:prstGeom>
      </xdr:spPr>
    </xdr:pic>
    <xdr:clientData/>
  </xdr:twoCellAnchor>
  <xdr:twoCellAnchor editAs="oneCell">
    <xdr:from>
      <xdr:col>5</xdr:col>
      <xdr:colOff>0</xdr:colOff>
      <xdr:row>32</xdr:row>
      <xdr:rowOff>0</xdr:rowOff>
    </xdr:from>
    <xdr:to>
      <xdr:col>13</xdr:col>
      <xdr:colOff>0</xdr:colOff>
      <xdr:row>55</xdr:row>
      <xdr:rowOff>0</xdr:rowOff>
    </xdr:to>
    <xdr:pic>
      <xdr:nvPicPr>
        <xdr:cNvPr id="14" name="EMF10"/>
        <xdr:cNvPicPr>
          <a:picLocks/>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7924800" y="5334000"/>
          <a:ext cx="4876800" cy="3724275"/>
        </a:xfrm>
        <a:prstGeom prst="rect">
          <a:avLst/>
        </a:prstGeom>
      </xdr:spPr>
    </xdr:pic>
    <xdr:clientData/>
  </xdr:twoCellAnchor>
  <xdr:twoCellAnchor editAs="oneCell">
    <xdr:from>
      <xdr:col>5</xdr:col>
      <xdr:colOff>0</xdr:colOff>
      <xdr:row>57</xdr:row>
      <xdr:rowOff>0</xdr:rowOff>
    </xdr:from>
    <xdr:to>
      <xdr:col>13</xdr:col>
      <xdr:colOff>0</xdr:colOff>
      <xdr:row>80</xdr:row>
      <xdr:rowOff>0</xdr:rowOff>
    </xdr:to>
    <xdr:pic>
      <xdr:nvPicPr>
        <xdr:cNvPr id="15" name="EMF11"/>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7924800" y="9382125"/>
          <a:ext cx="4876800" cy="3724275"/>
        </a:xfrm>
        <a:prstGeom prst="rect">
          <a:avLst/>
        </a:prstGeom>
      </xdr:spPr>
    </xdr:pic>
    <xdr:clientData/>
  </xdr:twoCellAnchor>
  <xdr:twoCellAnchor editAs="oneCell">
    <xdr:from>
      <xdr:col>5</xdr:col>
      <xdr:colOff>0</xdr:colOff>
      <xdr:row>82</xdr:row>
      <xdr:rowOff>0</xdr:rowOff>
    </xdr:from>
    <xdr:to>
      <xdr:col>13</xdr:col>
      <xdr:colOff>0</xdr:colOff>
      <xdr:row>105</xdr:row>
      <xdr:rowOff>0</xdr:rowOff>
    </xdr:to>
    <xdr:pic>
      <xdr:nvPicPr>
        <xdr:cNvPr id="16" name="EMF12"/>
        <xdr:cNvPicPr>
          <a:picLocks/>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7924800" y="13430250"/>
          <a:ext cx="4876800" cy="3724275"/>
        </a:xfrm>
        <a:prstGeom prst="rect">
          <a:avLst/>
        </a:prstGeom>
      </xdr:spPr>
    </xdr:pic>
    <xdr:clientData/>
  </xdr:twoCellAnchor>
  <xdr:twoCellAnchor editAs="oneCell">
    <xdr:from>
      <xdr:col>5</xdr:col>
      <xdr:colOff>0</xdr:colOff>
      <xdr:row>107</xdr:row>
      <xdr:rowOff>0</xdr:rowOff>
    </xdr:from>
    <xdr:to>
      <xdr:col>13</xdr:col>
      <xdr:colOff>0</xdr:colOff>
      <xdr:row>130</xdr:row>
      <xdr:rowOff>0</xdr:rowOff>
    </xdr:to>
    <xdr:pic>
      <xdr:nvPicPr>
        <xdr:cNvPr id="17" name="EMF13"/>
        <xdr:cNvPicPr>
          <a:picLocks/>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7924800" y="17478375"/>
          <a:ext cx="4876800" cy="3724275"/>
        </a:xfrm>
        <a:prstGeom prst="rect">
          <a:avLst/>
        </a:prstGeom>
      </xdr:spPr>
    </xdr:pic>
    <xdr:clientData/>
  </xdr:twoCellAnchor>
  <xdr:twoCellAnchor editAs="oneCell">
    <xdr:from>
      <xdr:col>5</xdr:col>
      <xdr:colOff>0</xdr:colOff>
      <xdr:row>132</xdr:row>
      <xdr:rowOff>0</xdr:rowOff>
    </xdr:from>
    <xdr:to>
      <xdr:col>13</xdr:col>
      <xdr:colOff>0</xdr:colOff>
      <xdr:row>155</xdr:row>
      <xdr:rowOff>0</xdr:rowOff>
    </xdr:to>
    <xdr:pic>
      <xdr:nvPicPr>
        <xdr:cNvPr id="18" name="EMF14"/>
        <xdr:cNvPicPr>
          <a:picLocks/>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7924800" y="21526500"/>
          <a:ext cx="4876800" cy="3724275"/>
        </a:xfrm>
        <a:prstGeom prst="rect">
          <a:avLst/>
        </a:prstGeom>
      </xdr:spPr>
    </xdr:pic>
    <xdr:clientData/>
  </xdr:twoCellAnchor>
  <xdr:twoCellAnchor editAs="oneCell">
    <xdr:from>
      <xdr:col>5</xdr:col>
      <xdr:colOff>0</xdr:colOff>
      <xdr:row>157</xdr:row>
      <xdr:rowOff>0</xdr:rowOff>
    </xdr:from>
    <xdr:to>
      <xdr:col>13</xdr:col>
      <xdr:colOff>0</xdr:colOff>
      <xdr:row>180</xdr:row>
      <xdr:rowOff>0</xdr:rowOff>
    </xdr:to>
    <xdr:pic>
      <xdr:nvPicPr>
        <xdr:cNvPr id="19" name="EMF15"/>
        <xdr:cNvPicPr>
          <a:picLocks/>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7924800" y="25574625"/>
          <a:ext cx="4876800" cy="3724275"/>
        </a:xfrm>
        <a:prstGeom prst="rect">
          <a:avLst/>
        </a:prstGeom>
      </xdr:spPr>
    </xdr:pic>
    <xdr:clientData/>
  </xdr:twoCellAnchor>
  <xdr:twoCellAnchor editAs="oneCell">
    <xdr:from>
      <xdr:col>5</xdr:col>
      <xdr:colOff>0</xdr:colOff>
      <xdr:row>182</xdr:row>
      <xdr:rowOff>0</xdr:rowOff>
    </xdr:from>
    <xdr:to>
      <xdr:col>13</xdr:col>
      <xdr:colOff>0</xdr:colOff>
      <xdr:row>205</xdr:row>
      <xdr:rowOff>0</xdr:rowOff>
    </xdr:to>
    <xdr:pic>
      <xdr:nvPicPr>
        <xdr:cNvPr id="20" name="EMF16"/>
        <xdr:cNvPicPr>
          <a:picLocks/>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7924800" y="29622750"/>
          <a:ext cx="4876800" cy="3724275"/>
        </a:xfrm>
        <a:prstGeom prst="rect">
          <a:avLst/>
        </a:prstGeom>
      </xdr:spPr>
    </xdr:pic>
    <xdr:clientData/>
  </xdr:twoCellAnchor>
  <xdr:twoCellAnchor editAs="oneCell">
    <xdr:from>
      <xdr:col>5</xdr:col>
      <xdr:colOff>0</xdr:colOff>
      <xdr:row>207</xdr:row>
      <xdr:rowOff>0</xdr:rowOff>
    </xdr:from>
    <xdr:to>
      <xdr:col>13</xdr:col>
      <xdr:colOff>0</xdr:colOff>
      <xdr:row>230</xdr:row>
      <xdr:rowOff>0</xdr:rowOff>
    </xdr:to>
    <xdr:pic>
      <xdr:nvPicPr>
        <xdr:cNvPr id="21" name="EMF17"/>
        <xdr:cNvPicPr>
          <a:picLocks/>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7924800" y="33670875"/>
          <a:ext cx="4876800" cy="3724275"/>
        </a:xfrm>
        <a:prstGeom prst="rect">
          <a:avLst/>
        </a:prstGeom>
      </xdr:spPr>
    </xdr:pic>
    <xdr:clientData/>
  </xdr:twoCellAnchor>
  <xdr:twoCellAnchor editAs="oneCell">
    <xdr:from>
      <xdr:col>5</xdr:col>
      <xdr:colOff>0</xdr:colOff>
      <xdr:row>232</xdr:row>
      <xdr:rowOff>0</xdr:rowOff>
    </xdr:from>
    <xdr:to>
      <xdr:col>13</xdr:col>
      <xdr:colOff>0</xdr:colOff>
      <xdr:row>255</xdr:row>
      <xdr:rowOff>0</xdr:rowOff>
    </xdr:to>
    <xdr:pic>
      <xdr:nvPicPr>
        <xdr:cNvPr id="22" name="EMF18"/>
        <xdr:cNvPicPr>
          <a:picLocks/>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7924800" y="37719000"/>
          <a:ext cx="4876800" cy="3724275"/>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comments" Target="../comments1.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12.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17.xml"/><Relationship Id="rId3" Type="http://schemas.openxmlformats.org/officeDocument/2006/relationships/vmlDrawing" Target="../drawings/vmlDrawing3.vml"/><Relationship Id="rId7" Type="http://schemas.openxmlformats.org/officeDocument/2006/relationships/ctrlProp" Target="../ctrlProps/ctrlProp16.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15.xml"/><Relationship Id="rId5" Type="http://schemas.openxmlformats.org/officeDocument/2006/relationships/ctrlProp" Target="../ctrlProps/ctrlProp14.xml"/><Relationship Id="rId10" Type="http://schemas.openxmlformats.org/officeDocument/2006/relationships/comments" Target="../comments2.xml"/><Relationship Id="rId4" Type="http://schemas.openxmlformats.org/officeDocument/2006/relationships/ctrlProp" Target="../ctrlProps/ctrlProp13.xml"/><Relationship Id="rId9" Type="http://schemas.openxmlformats.org/officeDocument/2006/relationships/ctrlProp" Target="../ctrlProps/ctrlProp18.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5.bin"/><Relationship Id="rId6" Type="http://schemas.openxmlformats.org/officeDocument/2006/relationships/ctrlProp" Target="../ctrlProps/ctrlProp21.xml"/><Relationship Id="rId5" Type="http://schemas.openxmlformats.org/officeDocument/2006/relationships/ctrlProp" Target="../ctrlProps/ctrlProp20.xml"/><Relationship Id="rId4" Type="http://schemas.openxmlformats.org/officeDocument/2006/relationships/ctrlProp" Target="../ctrlProps/ctrlProp19.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5.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enableFormatConditionsCalculation="0">
    <tabColor indexed="42"/>
  </sheetPr>
  <dimension ref="B1:M188"/>
  <sheetViews>
    <sheetView tabSelected="1" zoomScaleNormal="100" workbookViewId="0">
      <pane ySplit="5" topLeftCell="A27" activePane="bottomLeft" state="frozen"/>
      <selection pane="bottomLeft" activeCell="D37" sqref="D37"/>
    </sheetView>
  </sheetViews>
  <sheetFormatPr defaultColWidth="18.7109375" defaultRowHeight="12.75" zeroHeight="1" x14ac:dyDescent="0.2"/>
  <cols>
    <col min="1" max="1" width="4.28515625" style="6" customWidth="1"/>
    <col min="2" max="2" width="28" style="6" customWidth="1"/>
    <col min="3" max="3" width="10.42578125" style="6" customWidth="1"/>
    <col min="4" max="8" width="18.7109375" style="6" customWidth="1"/>
    <col min="9" max="16384" width="18.7109375" style="6"/>
  </cols>
  <sheetData>
    <row r="1" spans="2:9" s="1" customFormat="1" ht="11.25" customHeight="1" x14ac:dyDescent="0.2"/>
    <row r="2" spans="2:9" s="1" customFormat="1" ht="18" x14ac:dyDescent="0.25">
      <c r="B2" s="10" t="s">
        <v>562</v>
      </c>
    </row>
    <row r="3" spans="2:9" s="1" customFormat="1" ht="11.25" customHeight="1" x14ac:dyDescent="0.2"/>
    <row r="4" spans="2:9" s="1" customFormat="1" ht="12.75" customHeight="1" x14ac:dyDescent="0.2">
      <c r="B4" s="1" t="s">
        <v>20</v>
      </c>
      <c r="D4" s="1" t="s">
        <v>19</v>
      </c>
      <c r="E4" s="33">
        <v>41241</v>
      </c>
    </row>
    <row r="5" spans="2:9" s="11" customFormat="1" ht="11.25" customHeight="1" thickBot="1" x14ac:dyDescent="0.25"/>
    <row r="6" spans="2:9" ht="13.5" thickTop="1" x14ac:dyDescent="0.2"/>
    <row r="7" spans="2:9" ht="13.5" customHeight="1" thickBot="1" x14ac:dyDescent="0.25">
      <c r="B7" s="12" t="s">
        <v>484</v>
      </c>
    </row>
    <row r="8" spans="2:9" ht="57.75" customHeight="1" thickBot="1" x14ac:dyDescent="0.25">
      <c r="B8" s="34"/>
      <c r="C8" s="35"/>
      <c r="D8" s="35"/>
      <c r="E8" s="35"/>
      <c r="F8" s="36"/>
      <c r="G8" s="36"/>
    </row>
    <row r="9" spans="2:9" ht="13.5" customHeight="1" x14ac:dyDescent="0.2"/>
    <row r="10" spans="2:9" ht="13.5" customHeight="1" x14ac:dyDescent="0.2">
      <c r="B10" s="12" t="s">
        <v>483</v>
      </c>
      <c r="H10" s="84" t="s">
        <v>874</v>
      </c>
    </row>
    <row r="11" spans="2:9" ht="27" customHeight="1" thickBot="1" x14ac:dyDescent="0.25">
      <c r="B11" s="8" t="s">
        <v>559</v>
      </c>
      <c r="C11" s="104" t="s">
        <v>866</v>
      </c>
      <c r="D11" s="104"/>
      <c r="E11" s="104"/>
      <c r="H11" s="81" t="s">
        <v>870</v>
      </c>
      <c r="I11" s="83" t="s">
        <v>872</v>
      </c>
    </row>
    <row r="12" spans="2:9" ht="27" customHeight="1" thickBot="1" x14ac:dyDescent="0.25">
      <c r="B12" s="8" t="s">
        <v>561</v>
      </c>
      <c r="C12" s="104" t="s">
        <v>875</v>
      </c>
      <c r="D12" s="104"/>
      <c r="E12" s="105"/>
      <c r="F12" s="36"/>
      <c r="H12" s="81" t="s">
        <v>871</v>
      </c>
      <c r="I12" s="82">
        <v>513</v>
      </c>
    </row>
    <row r="13" spans="2:9" ht="27" customHeight="1" x14ac:dyDescent="0.2">
      <c r="B13" s="8" t="s">
        <v>799</v>
      </c>
      <c r="C13" s="106">
        <v>1</v>
      </c>
      <c r="D13" s="106"/>
      <c r="E13" s="106"/>
      <c r="H13" s="103"/>
      <c r="I13" s="103"/>
    </row>
    <row r="14" spans="2:9" ht="27" customHeight="1" x14ac:dyDescent="0.2">
      <c r="B14" s="8" t="s">
        <v>558</v>
      </c>
      <c r="C14" s="106" t="s">
        <v>876</v>
      </c>
      <c r="D14" s="106"/>
      <c r="E14" s="106"/>
    </row>
    <row r="15" spans="2:9" ht="27" customHeight="1" x14ac:dyDescent="0.2">
      <c r="B15" s="8" t="s">
        <v>626</v>
      </c>
      <c r="C15" s="106" t="s">
        <v>877</v>
      </c>
      <c r="D15" s="106"/>
      <c r="E15" s="106"/>
    </row>
    <row r="16" spans="2:9" ht="27" customHeight="1" x14ac:dyDescent="0.2">
      <c r="B16" s="8" t="s">
        <v>798</v>
      </c>
      <c r="C16" s="106" t="s">
        <v>878</v>
      </c>
      <c r="D16" s="106"/>
      <c r="E16" s="106"/>
    </row>
    <row r="17" spans="2:7" ht="27" customHeight="1" x14ac:dyDescent="0.2">
      <c r="B17" s="8" t="s">
        <v>789</v>
      </c>
      <c r="C17" s="104" t="s">
        <v>410</v>
      </c>
      <c r="D17" s="104"/>
      <c r="E17" s="104"/>
    </row>
    <row r="18" spans="2:7" ht="27" customHeight="1" x14ac:dyDescent="0.2">
      <c r="B18" s="8" t="s">
        <v>790</v>
      </c>
      <c r="C18" s="104" t="s">
        <v>405</v>
      </c>
      <c r="D18" s="104"/>
      <c r="E18" s="104"/>
      <c r="G18" s="6" t="s">
        <v>541</v>
      </c>
    </row>
    <row r="19" spans="2:7" ht="27" customHeight="1" x14ac:dyDescent="0.2">
      <c r="B19" s="8" t="s">
        <v>560</v>
      </c>
      <c r="C19" s="104" t="s">
        <v>873</v>
      </c>
      <c r="D19" s="104"/>
      <c r="E19" s="104"/>
    </row>
    <row r="20" spans="2:7" ht="13.5" customHeight="1" x14ac:dyDescent="0.2"/>
    <row r="21" spans="2:7" ht="13.5" customHeight="1" thickBot="1" x14ac:dyDescent="0.25">
      <c r="B21" s="12" t="s">
        <v>482</v>
      </c>
    </row>
    <row r="22" spans="2:7" ht="13.5" customHeight="1" x14ac:dyDescent="0.2">
      <c r="B22" s="17"/>
      <c r="C22" s="25"/>
      <c r="D22" s="18"/>
    </row>
    <row r="23" spans="2:7" ht="12.75" customHeight="1" x14ac:dyDescent="0.2">
      <c r="B23" s="19"/>
      <c r="C23" s="26"/>
      <c r="D23" s="20"/>
    </row>
    <row r="24" spans="2:7" ht="12.75" customHeight="1" x14ac:dyDescent="0.2">
      <c r="B24" s="19"/>
      <c r="C24" s="26"/>
      <c r="D24" s="20"/>
    </row>
    <row r="25" spans="2:7" ht="12.75" customHeight="1" x14ac:dyDescent="0.2">
      <c r="B25" s="19"/>
      <c r="C25" s="26"/>
      <c r="D25" s="20"/>
    </row>
    <row r="26" spans="2:7" ht="13.5" customHeight="1" x14ac:dyDescent="0.2">
      <c r="B26" s="19"/>
      <c r="C26" s="26"/>
      <c r="D26" s="20"/>
    </row>
    <row r="27" spans="2:7" ht="12.75" customHeight="1" x14ac:dyDescent="0.2">
      <c r="B27" s="19"/>
      <c r="C27" s="26"/>
      <c r="D27" s="20"/>
    </row>
    <row r="28" spans="2:7" ht="12.75" customHeight="1" x14ac:dyDescent="0.2">
      <c r="B28" s="19"/>
      <c r="C28" s="26"/>
      <c r="D28" s="20"/>
    </row>
    <row r="29" spans="2:7" x14ac:dyDescent="0.2">
      <c r="B29" s="19"/>
      <c r="C29" s="26"/>
      <c r="D29" s="20"/>
    </row>
    <row r="30" spans="2:7" ht="12.75" customHeight="1" x14ac:dyDescent="0.2">
      <c r="B30" s="19"/>
      <c r="C30" s="26"/>
      <c r="D30" s="20"/>
    </row>
    <row r="31" spans="2:7" ht="12.75" customHeight="1" x14ac:dyDescent="0.2">
      <c r="B31" s="19"/>
      <c r="C31" s="26"/>
      <c r="D31" s="20"/>
    </row>
    <row r="32" spans="2:7" x14ac:dyDescent="0.2">
      <c r="B32" s="19"/>
      <c r="C32" s="26"/>
      <c r="D32" s="20"/>
    </row>
    <row r="33" spans="2:13" x14ac:dyDescent="0.2">
      <c r="B33" s="19"/>
      <c r="C33" s="26"/>
      <c r="D33" s="20"/>
    </row>
    <row r="34" spans="2:13" ht="13.5" thickBot="1" x14ac:dyDescent="0.25">
      <c r="B34" s="21"/>
      <c r="C34" s="27"/>
      <c r="D34" s="22"/>
    </row>
    <row r="35" spans="2:13" x14ac:dyDescent="0.2"/>
    <row r="36" spans="2:13" x14ac:dyDescent="0.2">
      <c r="B36" s="12" t="s">
        <v>678</v>
      </c>
    </row>
    <row r="37" spans="2:13" ht="38.25" x14ac:dyDescent="0.2">
      <c r="B37" s="9" t="s">
        <v>44</v>
      </c>
      <c r="C37" s="9" t="s">
        <v>398</v>
      </c>
      <c r="D37" s="86" t="s">
        <v>25</v>
      </c>
      <c r="E37" s="86" t="s">
        <v>33</v>
      </c>
      <c r="F37" s="86" t="s">
        <v>27</v>
      </c>
      <c r="G37" s="86" t="s">
        <v>26</v>
      </c>
      <c r="H37" s="86" t="s">
        <v>30</v>
      </c>
      <c r="I37" s="86" t="s">
        <v>28</v>
      </c>
      <c r="J37" s="86" t="s">
        <v>31</v>
      </c>
      <c r="K37" s="86" t="str">
        <f>"Multistage "&amp;K70</f>
        <v>Multistage 3</v>
      </c>
      <c r="L37" s="86" t="str">
        <f>"Multistage "&amp;L70</f>
        <v>Multistage 2</v>
      </c>
      <c r="M37" s="86" t="str">
        <f>"Multistage "&amp;M70</f>
        <v>Multistage 1</v>
      </c>
    </row>
    <row r="38" spans="2:13" x14ac:dyDescent="0.2">
      <c r="B38" s="13" t="s">
        <v>670</v>
      </c>
      <c r="C38" s="13" t="s">
        <v>390</v>
      </c>
      <c r="D38" s="15" t="str">
        <f t="shared" ref="D38:J38" si="0">CONCATENATE(SmartStudyEndpointName,"-",D39,"-",D40,".opt")</f>
        <v>1-dichotomous-tc-Gamma-10%.opt</v>
      </c>
      <c r="E38" s="15" t="str">
        <f t="shared" si="0"/>
        <v>1-dichotomous-tc-DichHill-10%.opt</v>
      </c>
      <c r="F38" s="15" t="str">
        <f t="shared" si="0"/>
        <v>1-dichotomous-tc-LogLogistic-10%.opt</v>
      </c>
      <c r="G38" s="15" t="str">
        <f t="shared" si="0"/>
        <v>1-dichotomous-tc-Logistic-10%.opt</v>
      </c>
      <c r="H38" s="15" t="str">
        <f t="shared" si="0"/>
        <v>1-dichotomous-tc-Probit-10%.opt</v>
      </c>
      <c r="I38" s="15" t="str">
        <f t="shared" si="0"/>
        <v>1-dichotomous-tc-LogProbit-10%.opt</v>
      </c>
      <c r="J38" s="15" t="str">
        <f t="shared" si="0"/>
        <v>1-dichotomous-tc-Weibull-10%.opt</v>
      </c>
      <c r="K38" s="15" t="str">
        <f t="shared" ref="K38:M38" si="1">CONCATENATE(SmartStudyEndpointName,"-",K39,"-",K40,".opt")</f>
        <v>1-dichotomous-tc-Multi3-10%.opt</v>
      </c>
      <c r="L38" s="15" t="str">
        <f t="shared" si="1"/>
        <v>1-dichotomous-tc-Multi2-10%.opt</v>
      </c>
      <c r="M38" s="15" t="str">
        <f t="shared" si="1"/>
        <v>1-dichotomous-tc-Multi1-10%.opt</v>
      </c>
    </row>
    <row r="39" spans="2:13" x14ac:dyDescent="0.2">
      <c r="B39" s="13" t="s">
        <v>8</v>
      </c>
      <c r="C39" s="13" t="s">
        <v>390</v>
      </c>
      <c r="D39" s="15" t="s">
        <v>25</v>
      </c>
      <c r="E39" s="15" t="s">
        <v>534</v>
      </c>
      <c r="F39" s="15" t="s">
        <v>27</v>
      </c>
      <c r="G39" s="15" t="s">
        <v>26</v>
      </c>
      <c r="H39" s="15" t="s">
        <v>30</v>
      </c>
      <c r="I39" s="15" t="s">
        <v>28</v>
      </c>
      <c r="J39" s="15" t="s">
        <v>31</v>
      </c>
      <c r="K39" s="15" t="str">
        <f>"Multi"&amp;K70</f>
        <v>Multi3</v>
      </c>
      <c r="L39" s="15" t="str">
        <f>"Multi"&amp;L70</f>
        <v>Multi2</v>
      </c>
      <c r="M39" s="15" t="str">
        <f>"Multi"&amp;M70</f>
        <v>Multi1</v>
      </c>
    </row>
    <row r="40" spans="2:13" x14ac:dyDescent="0.2">
      <c r="B40" s="13" t="s">
        <v>529</v>
      </c>
      <c r="C40" s="13" t="s">
        <v>390</v>
      </c>
      <c r="D40" s="15" t="str">
        <f t="shared" ref="D40:J40" si="2">D58*VLOOKUP(D57,Tbl_BMRFN,3,FALSE)&amp;VLOOKUP(D57,Tbl_BMRFN,2,FALSE)</f>
        <v>10%</v>
      </c>
      <c r="E40" s="15" t="str">
        <f t="shared" si="2"/>
        <v>10%</v>
      </c>
      <c r="F40" s="15" t="str">
        <f t="shared" si="2"/>
        <v>10%</v>
      </c>
      <c r="G40" s="15" t="str">
        <f t="shared" si="2"/>
        <v>10%</v>
      </c>
      <c r="H40" s="15" t="str">
        <f t="shared" si="2"/>
        <v>10%</v>
      </c>
      <c r="I40" s="15" t="str">
        <f t="shared" si="2"/>
        <v>10%</v>
      </c>
      <c r="J40" s="15" t="str">
        <f t="shared" si="2"/>
        <v>10%</v>
      </c>
      <c r="K40" s="15" t="str">
        <f t="shared" ref="K40:M40" si="3">K58*VLOOKUP(K57,Tbl_BMRFN,3,FALSE)&amp;VLOOKUP(K57,Tbl_BMRFN,2,FALSE)</f>
        <v>10%</v>
      </c>
      <c r="L40" s="15" t="str">
        <f t="shared" si="3"/>
        <v>10%</v>
      </c>
      <c r="M40" s="15" t="str">
        <f t="shared" si="3"/>
        <v>10%</v>
      </c>
    </row>
    <row r="41" spans="2:13" x14ac:dyDescent="0.2">
      <c r="B41" s="13" t="s">
        <v>320</v>
      </c>
      <c r="C41" s="13"/>
      <c r="D41" s="14"/>
      <c r="E41" s="14"/>
      <c r="F41" s="14"/>
      <c r="G41" s="14"/>
      <c r="H41" s="14"/>
      <c r="I41" s="14"/>
      <c r="J41" s="14"/>
      <c r="K41" s="14"/>
      <c r="L41" s="14"/>
      <c r="M41" s="14"/>
    </row>
    <row r="42" spans="2:13" x14ac:dyDescent="0.2">
      <c r="B42" s="13" t="s">
        <v>37</v>
      </c>
      <c r="C42" s="13" t="s">
        <v>469</v>
      </c>
      <c r="D42" s="85" t="str">
        <f t="shared" ref="D42:M42" si="4">INDEX(Tbl_DataInputNames,1,MATCH("Dose",Data_DataType,FALSE))</f>
        <v>Dose</v>
      </c>
      <c r="E42" s="85" t="str">
        <f t="shared" si="4"/>
        <v>Dose</v>
      </c>
      <c r="F42" s="85" t="str">
        <f t="shared" si="4"/>
        <v>Dose</v>
      </c>
      <c r="G42" s="85" t="str">
        <f t="shared" si="4"/>
        <v>Dose</v>
      </c>
      <c r="H42" s="85" t="str">
        <f t="shared" si="4"/>
        <v>Dose</v>
      </c>
      <c r="I42" s="85" t="str">
        <f t="shared" si="4"/>
        <v>Dose</v>
      </c>
      <c r="J42" s="85" t="str">
        <f t="shared" si="4"/>
        <v>Dose</v>
      </c>
      <c r="K42" s="85" t="str">
        <f t="shared" si="4"/>
        <v>Dose</v>
      </c>
      <c r="L42" s="85" t="str">
        <f t="shared" si="4"/>
        <v>Dose</v>
      </c>
      <c r="M42" s="85" t="str">
        <f t="shared" si="4"/>
        <v>Dose</v>
      </c>
    </row>
    <row r="43" spans="2:13" x14ac:dyDescent="0.2">
      <c r="B43" s="13" t="s">
        <v>38</v>
      </c>
      <c r="C43" s="13" t="s">
        <v>469</v>
      </c>
      <c r="D43" s="85" t="str">
        <f t="shared" ref="D43:M43" si="5">INDEX(Tbl_DataInputNames,1,MATCH("NumAnimals",Data_DataType,FALSE))</f>
        <v>NumAnimals</v>
      </c>
      <c r="E43" s="85" t="str">
        <f t="shared" si="5"/>
        <v>NumAnimals</v>
      </c>
      <c r="F43" s="85" t="str">
        <f t="shared" si="5"/>
        <v>NumAnimals</v>
      </c>
      <c r="G43" s="85" t="str">
        <f t="shared" si="5"/>
        <v>NumAnimals</v>
      </c>
      <c r="H43" s="85" t="str">
        <f t="shared" si="5"/>
        <v>NumAnimals</v>
      </c>
      <c r="I43" s="85" t="str">
        <f t="shared" si="5"/>
        <v>NumAnimals</v>
      </c>
      <c r="J43" s="85" t="str">
        <f t="shared" si="5"/>
        <v>NumAnimals</v>
      </c>
      <c r="K43" s="85" t="str">
        <f t="shared" si="5"/>
        <v>NumAnimals</v>
      </c>
      <c r="L43" s="85" t="str">
        <f t="shared" si="5"/>
        <v>NumAnimals</v>
      </c>
      <c r="M43" s="85" t="str">
        <f t="shared" si="5"/>
        <v>NumAnimals</v>
      </c>
    </row>
    <row r="44" spans="2:13" x14ac:dyDescent="0.2">
      <c r="B44" s="13" t="s">
        <v>39</v>
      </c>
      <c r="C44" s="13" t="s">
        <v>469</v>
      </c>
      <c r="D44" s="14"/>
      <c r="E44" s="14"/>
      <c r="F44" s="14"/>
      <c r="G44" s="14"/>
      <c r="H44" s="14"/>
      <c r="I44" s="14"/>
      <c r="J44" s="14"/>
      <c r="K44" s="14"/>
      <c r="L44" s="14"/>
      <c r="M44" s="14"/>
    </row>
    <row r="45" spans="2:13" x14ac:dyDescent="0.2">
      <c r="B45" s="13" t="s">
        <v>40</v>
      </c>
      <c r="C45" s="13" t="s">
        <v>469</v>
      </c>
      <c r="D45" s="14"/>
      <c r="E45" s="14"/>
      <c r="F45" s="14"/>
      <c r="G45" s="14"/>
      <c r="H45" s="14"/>
      <c r="I45" s="14"/>
      <c r="J45" s="14"/>
      <c r="K45" s="14"/>
      <c r="L45" s="14"/>
      <c r="M45" s="14"/>
    </row>
    <row r="46" spans="2:13" x14ac:dyDescent="0.2">
      <c r="B46" s="13" t="s">
        <v>41</v>
      </c>
      <c r="C46" s="13" t="s">
        <v>469</v>
      </c>
      <c r="D46" s="14"/>
      <c r="E46" s="14"/>
      <c r="F46" s="14"/>
      <c r="G46" s="14"/>
      <c r="H46" s="14"/>
      <c r="I46" s="14"/>
      <c r="J46" s="14"/>
      <c r="K46" s="14"/>
      <c r="L46" s="14"/>
      <c r="M46" s="14"/>
    </row>
    <row r="47" spans="2:13" x14ac:dyDescent="0.2">
      <c r="B47" s="13" t="s">
        <v>53</v>
      </c>
      <c r="C47" s="13" t="s">
        <v>469</v>
      </c>
      <c r="D47" s="85" t="str">
        <f t="shared" ref="D47:M47" si="6">INDEX(Tbl_DataInputNames,1,MATCH("Incidence",Data_DataType,FALSE))</f>
        <v>Incidence</v>
      </c>
      <c r="E47" s="85" t="str">
        <f t="shared" si="6"/>
        <v>Incidence</v>
      </c>
      <c r="F47" s="85" t="str">
        <f t="shared" si="6"/>
        <v>Incidence</v>
      </c>
      <c r="G47" s="85" t="str">
        <f t="shared" si="6"/>
        <v>Incidence</v>
      </c>
      <c r="H47" s="85" t="str">
        <f t="shared" si="6"/>
        <v>Incidence</v>
      </c>
      <c r="I47" s="85" t="str">
        <f t="shared" si="6"/>
        <v>Incidence</v>
      </c>
      <c r="J47" s="85" t="str">
        <f t="shared" si="6"/>
        <v>Incidence</v>
      </c>
      <c r="K47" s="85" t="str">
        <f t="shared" si="6"/>
        <v>Incidence</v>
      </c>
      <c r="L47" s="85" t="str">
        <f t="shared" si="6"/>
        <v>Incidence</v>
      </c>
      <c r="M47" s="85" t="str">
        <f t="shared" si="6"/>
        <v>Incidence</v>
      </c>
    </row>
    <row r="48" spans="2:13" x14ac:dyDescent="0.2">
      <c r="B48" s="13" t="s">
        <v>54</v>
      </c>
      <c r="C48" s="13" t="s">
        <v>469</v>
      </c>
      <c r="D48" s="85"/>
      <c r="E48" s="85"/>
      <c r="F48" s="85"/>
      <c r="G48" s="85"/>
      <c r="H48" s="85"/>
      <c r="I48" s="85"/>
      <c r="J48" s="85"/>
      <c r="K48" s="85"/>
      <c r="L48" s="85"/>
      <c r="M48" s="85"/>
    </row>
    <row r="49" spans="2:13" hidden="1" x14ac:dyDescent="0.2">
      <c r="B49" s="13" t="s">
        <v>58</v>
      </c>
      <c r="C49" s="13" t="s">
        <v>469</v>
      </c>
      <c r="D49" s="14"/>
      <c r="E49" s="14"/>
      <c r="F49" s="14"/>
      <c r="G49" s="14"/>
      <c r="H49" s="14"/>
      <c r="I49" s="14"/>
      <c r="J49" s="14"/>
      <c r="K49" s="14"/>
      <c r="L49" s="14"/>
      <c r="M49" s="14"/>
    </row>
    <row r="50" spans="2:13" hidden="1" x14ac:dyDescent="0.2">
      <c r="B50" s="13" t="s">
        <v>80</v>
      </c>
      <c r="C50" s="13"/>
      <c r="D50" s="14"/>
      <c r="E50" s="14"/>
      <c r="F50" s="14"/>
      <c r="G50" s="14"/>
      <c r="H50" s="14"/>
      <c r="I50" s="14"/>
      <c r="J50" s="14"/>
      <c r="K50" s="14"/>
      <c r="L50" s="14"/>
      <c r="M50" s="14"/>
    </row>
    <row r="51" spans="2:13" hidden="1" x14ac:dyDescent="0.2">
      <c r="B51" s="13" t="s">
        <v>59</v>
      </c>
      <c r="C51" s="13" t="s">
        <v>469</v>
      </c>
      <c r="D51" s="14"/>
      <c r="E51" s="14"/>
      <c r="F51" s="14"/>
      <c r="G51" s="14"/>
      <c r="H51" s="14"/>
      <c r="I51" s="14"/>
      <c r="J51" s="14"/>
      <c r="K51" s="14"/>
      <c r="L51" s="14"/>
      <c r="M51" s="14"/>
    </row>
    <row r="52" spans="2:13" hidden="1" x14ac:dyDescent="0.2">
      <c r="B52" s="13" t="s">
        <v>321</v>
      </c>
      <c r="C52" s="13"/>
      <c r="D52" s="14"/>
      <c r="E52" s="14"/>
      <c r="F52" s="14"/>
      <c r="G52" s="14"/>
      <c r="H52" s="14"/>
      <c r="I52" s="14"/>
      <c r="J52" s="14"/>
      <c r="K52" s="14"/>
      <c r="L52" s="14"/>
      <c r="M52" s="14"/>
    </row>
    <row r="53" spans="2:13" x14ac:dyDescent="0.2">
      <c r="B53" s="13" t="s">
        <v>322</v>
      </c>
      <c r="C53" s="13" t="s">
        <v>469</v>
      </c>
      <c r="D53" s="14" t="s">
        <v>391</v>
      </c>
      <c r="E53" s="14" t="s">
        <v>391</v>
      </c>
      <c r="F53" s="14" t="s">
        <v>391</v>
      </c>
      <c r="G53" s="14" t="s">
        <v>391</v>
      </c>
      <c r="H53" s="14" t="s">
        <v>391</v>
      </c>
      <c r="I53" s="14" t="s">
        <v>391</v>
      </c>
      <c r="J53" s="14" t="s">
        <v>391</v>
      </c>
      <c r="K53" s="14" t="s">
        <v>391</v>
      </c>
      <c r="L53" s="14" t="s">
        <v>391</v>
      </c>
      <c r="M53" s="14" t="s">
        <v>391</v>
      </c>
    </row>
    <row r="54" spans="2:13" x14ac:dyDescent="0.2">
      <c r="B54" s="13" t="s">
        <v>323</v>
      </c>
      <c r="C54" s="13" t="s">
        <v>390</v>
      </c>
      <c r="D54" s="14" t="s">
        <v>392</v>
      </c>
      <c r="E54" s="14" t="s">
        <v>392</v>
      </c>
      <c r="F54" s="14" t="s">
        <v>392</v>
      </c>
      <c r="G54" s="14" t="s">
        <v>392</v>
      </c>
      <c r="H54" s="14" t="s">
        <v>392</v>
      </c>
      <c r="I54" s="14" t="s">
        <v>392</v>
      </c>
      <c r="J54" s="14" t="s">
        <v>392</v>
      </c>
      <c r="K54" s="14" t="s">
        <v>392</v>
      </c>
      <c r="L54" s="14" t="s">
        <v>392</v>
      </c>
      <c r="M54" s="14" t="s">
        <v>392</v>
      </c>
    </row>
    <row r="55" spans="2:13" hidden="1" x14ac:dyDescent="0.2">
      <c r="B55" s="13" t="s">
        <v>324</v>
      </c>
      <c r="C55" s="13"/>
      <c r="D55" s="14">
        <v>0</v>
      </c>
      <c r="E55" s="14">
        <v>0</v>
      </c>
      <c r="F55" s="14">
        <v>0</v>
      </c>
      <c r="G55" s="14">
        <v>0</v>
      </c>
      <c r="H55" s="14">
        <v>0</v>
      </c>
      <c r="I55" s="14">
        <v>0</v>
      </c>
      <c r="J55" s="14">
        <v>0</v>
      </c>
      <c r="K55" s="14">
        <v>0</v>
      </c>
      <c r="L55" s="14">
        <v>0</v>
      </c>
      <c r="M55" s="14">
        <v>0</v>
      </c>
    </row>
    <row r="56" spans="2:13" hidden="1" x14ac:dyDescent="0.2">
      <c r="B56" s="13" t="s">
        <v>325</v>
      </c>
      <c r="C56" s="13"/>
      <c r="D56" s="14">
        <v>0</v>
      </c>
      <c r="E56" s="14">
        <v>0</v>
      </c>
      <c r="F56" s="14">
        <v>0</v>
      </c>
      <c r="G56" s="14">
        <v>0</v>
      </c>
      <c r="H56" s="14">
        <v>0</v>
      </c>
      <c r="I56" s="14">
        <v>0</v>
      </c>
      <c r="J56" s="14">
        <v>0</v>
      </c>
      <c r="K56" s="14">
        <v>0</v>
      </c>
      <c r="L56" s="14">
        <v>0</v>
      </c>
      <c r="M56" s="14">
        <v>0</v>
      </c>
    </row>
    <row r="57" spans="2:13" x14ac:dyDescent="0.2">
      <c r="B57" s="13" t="s">
        <v>57</v>
      </c>
      <c r="C57" s="13" t="s">
        <v>469</v>
      </c>
      <c r="D57" s="85" t="s">
        <v>63</v>
      </c>
      <c r="E57" s="85" t="s">
        <v>63</v>
      </c>
      <c r="F57" s="85" t="s">
        <v>63</v>
      </c>
      <c r="G57" s="85" t="s">
        <v>63</v>
      </c>
      <c r="H57" s="85" t="s">
        <v>63</v>
      </c>
      <c r="I57" s="85" t="s">
        <v>63</v>
      </c>
      <c r="J57" s="85" t="s">
        <v>63</v>
      </c>
      <c r="K57" s="85" t="s">
        <v>63</v>
      </c>
      <c r="L57" s="85" t="s">
        <v>63</v>
      </c>
      <c r="M57" s="85" t="s">
        <v>63</v>
      </c>
    </row>
    <row r="58" spans="2:13" x14ac:dyDescent="0.2">
      <c r="B58" s="13" t="s">
        <v>326</v>
      </c>
      <c r="C58" s="13" t="s">
        <v>468</v>
      </c>
      <c r="D58" s="85">
        <v>0.1</v>
      </c>
      <c r="E58" s="85">
        <v>0.1</v>
      </c>
      <c r="F58" s="85">
        <v>0.1</v>
      </c>
      <c r="G58" s="85">
        <v>0.1</v>
      </c>
      <c r="H58" s="85">
        <v>0.1</v>
      </c>
      <c r="I58" s="85">
        <v>0.1</v>
      </c>
      <c r="J58" s="85">
        <v>0.1</v>
      </c>
      <c r="K58" s="85">
        <v>0.1</v>
      </c>
      <c r="L58" s="85">
        <v>0.1</v>
      </c>
      <c r="M58" s="85">
        <v>0.1</v>
      </c>
    </row>
    <row r="59" spans="2:13" x14ac:dyDescent="0.2">
      <c r="B59" s="13" t="s">
        <v>46</v>
      </c>
      <c r="C59" s="13" t="s">
        <v>468</v>
      </c>
      <c r="D59" s="85">
        <v>0.95</v>
      </c>
      <c r="E59" s="85">
        <v>0.95</v>
      </c>
      <c r="F59" s="85">
        <v>0.95</v>
      </c>
      <c r="G59" s="85">
        <v>0.95</v>
      </c>
      <c r="H59" s="85">
        <v>0.95</v>
      </c>
      <c r="I59" s="85">
        <v>0.95</v>
      </c>
      <c r="J59" s="85">
        <v>0.95</v>
      </c>
      <c r="K59" s="85">
        <v>0.95</v>
      </c>
      <c r="L59" s="85">
        <v>0.95</v>
      </c>
      <c r="M59" s="85">
        <v>0.95</v>
      </c>
    </row>
    <row r="60" spans="2:13" x14ac:dyDescent="0.2">
      <c r="B60" s="13" t="s">
        <v>45</v>
      </c>
      <c r="C60" s="13" t="s">
        <v>471</v>
      </c>
      <c r="D60" s="85" t="b">
        <v>1</v>
      </c>
      <c r="E60" s="85" t="b">
        <v>1</v>
      </c>
      <c r="F60" s="85" t="b">
        <v>1</v>
      </c>
      <c r="G60" s="85" t="b">
        <v>1</v>
      </c>
      <c r="H60" s="85" t="b">
        <v>1</v>
      </c>
      <c r="I60" s="85" t="b">
        <v>1</v>
      </c>
      <c r="J60" s="85" t="b">
        <v>1</v>
      </c>
      <c r="K60" s="85" t="b">
        <v>1</v>
      </c>
      <c r="L60" s="85" t="b">
        <v>1</v>
      </c>
      <c r="M60" s="85" t="b">
        <v>1</v>
      </c>
    </row>
    <row r="61" spans="2:13" x14ac:dyDescent="0.2">
      <c r="B61" s="13" t="s">
        <v>327</v>
      </c>
      <c r="C61" s="13" t="s">
        <v>471</v>
      </c>
      <c r="D61" s="85" t="b">
        <v>0</v>
      </c>
      <c r="E61" s="85" t="b">
        <v>0</v>
      </c>
      <c r="F61" s="85" t="b">
        <v>0</v>
      </c>
      <c r="G61" s="85" t="b">
        <v>0</v>
      </c>
      <c r="H61" s="85" t="b">
        <v>0</v>
      </c>
      <c r="I61" s="85" t="b">
        <v>0</v>
      </c>
      <c r="J61" s="85" t="b">
        <v>0</v>
      </c>
      <c r="K61" s="85" t="b">
        <v>0</v>
      </c>
      <c r="L61" s="85" t="b">
        <v>0</v>
      </c>
      <c r="M61" s="85" t="b">
        <v>0</v>
      </c>
    </row>
    <row r="62" spans="2:13" hidden="1" x14ac:dyDescent="0.2">
      <c r="B62" s="13" t="s">
        <v>56</v>
      </c>
      <c r="C62" s="13"/>
      <c r="D62" s="14"/>
      <c r="E62" s="14"/>
      <c r="F62" s="14"/>
      <c r="G62" s="14"/>
      <c r="H62" s="14"/>
      <c r="I62" s="14"/>
      <c r="J62" s="14"/>
      <c r="K62" s="14"/>
      <c r="L62" s="14"/>
      <c r="M62" s="14"/>
    </row>
    <row r="63" spans="2:13" hidden="1" x14ac:dyDescent="0.2">
      <c r="B63" s="13" t="s">
        <v>143</v>
      </c>
      <c r="C63" s="13"/>
      <c r="D63" s="14">
        <v>0</v>
      </c>
      <c r="E63" s="14">
        <v>0</v>
      </c>
      <c r="F63" s="14">
        <v>1</v>
      </c>
      <c r="G63" s="14">
        <v>0</v>
      </c>
      <c r="H63" s="14">
        <v>0</v>
      </c>
      <c r="I63" s="14">
        <v>1</v>
      </c>
      <c r="J63" s="14">
        <v>0</v>
      </c>
      <c r="K63" s="14">
        <v>0</v>
      </c>
      <c r="L63" s="14">
        <v>0</v>
      </c>
      <c r="M63" s="14">
        <v>0</v>
      </c>
    </row>
    <row r="64" spans="2:13" x14ac:dyDescent="0.2">
      <c r="B64" s="13" t="s">
        <v>473</v>
      </c>
      <c r="C64" s="13" t="s">
        <v>471</v>
      </c>
      <c r="D64" s="14" t="b">
        <v>0</v>
      </c>
      <c r="E64" s="85" t="b">
        <v>1</v>
      </c>
      <c r="F64" s="85" t="b">
        <v>1</v>
      </c>
      <c r="G64" s="14" t="b">
        <v>0</v>
      </c>
      <c r="H64" s="14" t="b">
        <v>0</v>
      </c>
      <c r="I64" s="85" t="b">
        <v>1</v>
      </c>
      <c r="J64" s="14" t="b">
        <v>0</v>
      </c>
      <c r="K64" s="14" t="b">
        <v>0</v>
      </c>
      <c r="L64" s="14" t="b">
        <v>0</v>
      </c>
      <c r="M64" s="14" t="b">
        <v>0</v>
      </c>
    </row>
    <row r="65" spans="2:13" hidden="1" x14ac:dyDescent="0.2">
      <c r="B65" s="13" t="s">
        <v>549</v>
      </c>
      <c r="C65" s="13" t="s">
        <v>471</v>
      </c>
      <c r="D65" s="14"/>
      <c r="E65" s="14"/>
      <c r="F65" s="14"/>
      <c r="G65" s="14"/>
      <c r="H65" s="14"/>
      <c r="I65" s="14"/>
      <c r="J65" s="85">
        <v>1</v>
      </c>
      <c r="K65" s="14"/>
      <c r="L65" s="14"/>
      <c r="M65" s="14"/>
    </row>
    <row r="66" spans="2:13" x14ac:dyDescent="0.2">
      <c r="B66" s="13" t="s">
        <v>474</v>
      </c>
      <c r="C66" s="13" t="s">
        <v>471</v>
      </c>
      <c r="D66" s="85" t="b">
        <v>1</v>
      </c>
      <c r="E66" s="14" t="b">
        <v>1</v>
      </c>
      <c r="F66" s="14" t="b">
        <v>1</v>
      </c>
      <c r="G66" s="14" t="b">
        <v>1</v>
      </c>
      <c r="H66" s="14" t="b">
        <v>1</v>
      </c>
      <c r="I66" s="14" t="b">
        <v>1</v>
      </c>
      <c r="J66" s="85" t="b">
        <v>1</v>
      </c>
      <c r="K66" s="14" t="b">
        <v>1</v>
      </c>
      <c r="L66" s="14" t="b">
        <v>1</v>
      </c>
      <c r="M66" s="14" t="b">
        <v>1</v>
      </c>
    </row>
    <row r="67" spans="2:13" x14ac:dyDescent="0.2">
      <c r="B67" s="13" t="s">
        <v>475</v>
      </c>
      <c r="C67" s="13" t="s">
        <v>471</v>
      </c>
      <c r="D67" s="14" t="b">
        <v>0</v>
      </c>
      <c r="E67" s="14" t="b">
        <v>0</v>
      </c>
      <c r="F67" s="14" t="b">
        <v>0</v>
      </c>
      <c r="G67" s="14" t="b">
        <v>0</v>
      </c>
      <c r="H67" s="14" t="b">
        <v>0</v>
      </c>
      <c r="I67" s="14" t="b">
        <v>0</v>
      </c>
      <c r="J67" s="14" t="b">
        <v>0</v>
      </c>
      <c r="K67" s="85" t="b">
        <v>1</v>
      </c>
      <c r="L67" s="85" t="b">
        <v>1</v>
      </c>
      <c r="M67" s="85" t="b">
        <v>1</v>
      </c>
    </row>
    <row r="68" spans="2:13" x14ac:dyDescent="0.2">
      <c r="B68" s="13" t="s">
        <v>476</v>
      </c>
      <c r="C68" s="13" t="s">
        <v>471</v>
      </c>
      <c r="D68" s="14" t="b">
        <v>1</v>
      </c>
      <c r="E68" s="14" t="b">
        <v>1</v>
      </c>
      <c r="F68" s="14" t="b">
        <v>1</v>
      </c>
      <c r="G68" s="14" t="b">
        <v>1</v>
      </c>
      <c r="H68" s="14" t="b">
        <v>1</v>
      </c>
      <c r="I68" s="14" t="b">
        <v>1</v>
      </c>
      <c r="J68" s="14" t="b">
        <v>1</v>
      </c>
      <c r="K68" s="14" t="b">
        <v>1</v>
      </c>
      <c r="L68" s="14" t="b">
        <v>1</v>
      </c>
      <c r="M68" s="14" t="b">
        <v>1</v>
      </c>
    </row>
    <row r="69" spans="2:13" hidden="1" x14ac:dyDescent="0.2">
      <c r="B69" s="13" t="s">
        <v>154</v>
      </c>
      <c r="C69" s="13"/>
      <c r="D69" s="14">
        <v>1</v>
      </c>
      <c r="E69" s="14">
        <v>1</v>
      </c>
      <c r="F69" s="14">
        <v>1</v>
      </c>
      <c r="G69" s="14">
        <v>1</v>
      </c>
      <c r="H69" s="14">
        <v>1</v>
      </c>
      <c r="I69" s="14">
        <v>1</v>
      </c>
      <c r="J69" s="14">
        <v>1</v>
      </c>
      <c r="K69" s="14">
        <v>1</v>
      </c>
      <c r="L69" s="14">
        <v>1</v>
      </c>
      <c r="M69" s="14">
        <v>1</v>
      </c>
    </row>
    <row r="70" spans="2:13" x14ac:dyDescent="0.2">
      <c r="B70" s="13" t="s">
        <v>49</v>
      </c>
      <c r="C70" s="13" t="s">
        <v>467</v>
      </c>
      <c r="D70" s="14">
        <v>2</v>
      </c>
      <c r="E70" s="14">
        <v>2</v>
      </c>
      <c r="F70" s="14">
        <v>2</v>
      </c>
      <c r="G70" s="14">
        <v>2</v>
      </c>
      <c r="H70" s="14">
        <v>2</v>
      </c>
      <c r="I70" s="14">
        <v>2</v>
      </c>
      <c r="J70" s="14">
        <v>2</v>
      </c>
      <c r="K70" s="85">
        <v>3</v>
      </c>
      <c r="L70" s="85">
        <v>2</v>
      </c>
      <c r="M70" s="85">
        <v>1</v>
      </c>
    </row>
    <row r="71" spans="2:13" hidden="1" x14ac:dyDescent="0.2">
      <c r="B71" s="13" t="s">
        <v>159</v>
      </c>
      <c r="C71" s="13"/>
      <c r="D71" s="14">
        <v>1</v>
      </c>
      <c r="E71" s="14">
        <v>1</v>
      </c>
      <c r="F71" s="14">
        <v>1</v>
      </c>
      <c r="G71" s="14">
        <v>1</v>
      </c>
      <c r="H71" s="14">
        <v>1</v>
      </c>
      <c r="I71" s="14">
        <v>1</v>
      </c>
      <c r="J71" s="14">
        <v>1</v>
      </c>
      <c r="K71" s="14">
        <v>1</v>
      </c>
      <c r="L71" s="14">
        <v>1</v>
      </c>
      <c r="M71" s="14">
        <v>1</v>
      </c>
    </row>
    <row r="72" spans="2:13" x14ac:dyDescent="0.2">
      <c r="B72" s="13" t="s">
        <v>50</v>
      </c>
      <c r="C72" s="13" t="s">
        <v>469</v>
      </c>
      <c r="D72" s="14" t="s">
        <v>64</v>
      </c>
      <c r="E72" s="14" t="s">
        <v>64</v>
      </c>
      <c r="F72" s="14" t="s">
        <v>64</v>
      </c>
      <c r="G72" s="14" t="s">
        <v>64</v>
      </c>
      <c r="H72" s="14" t="s">
        <v>64</v>
      </c>
      <c r="I72" s="14" t="s">
        <v>64</v>
      </c>
      <c r="J72" s="14" t="s">
        <v>64</v>
      </c>
      <c r="K72" s="14" t="s">
        <v>64</v>
      </c>
      <c r="L72" s="14" t="s">
        <v>64</v>
      </c>
      <c r="M72" s="14" t="s">
        <v>64</v>
      </c>
    </row>
    <row r="73" spans="2:13" x14ac:dyDescent="0.2">
      <c r="B73" s="13" t="s">
        <v>47</v>
      </c>
      <c r="C73" s="13" t="s">
        <v>469</v>
      </c>
      <c r="D73" s="14" t="s">
        <v>62</v>
      </c>
      <c r="E73" s="14" t="s">
        <v>62</v>
      </c>
      <c r="F73" s="14" t="s">
        <v>62</v>
      </c>
      <c r="G73" s="14" t="s">
        <v>62</v>
      </c>
      <c r="H73" s="14" t="s">
        <v>62</v>
      </c>
      <c r="I73" s="14" t="s">
        <v>62</v>
      </c>
      <c r="J73" s="14" t="s">
        <v>62</v>
      </c>
      <c r="K73" s="14" t="s">
        <v>62</v>
      </c>
      <c r="L73" s="14" t="s">
        <v>62</v>
      </c>
      <c r="M73" s="14" t="s">
        <v>62</v>
      </c>
    </row>
    <row r="74" spans="2:13" x14ac:dyDescent="0.2">
      <c r="B74" s="13" t="s">
        <v>48</v>
      </c>
      <c r="C74" s="13" t="s">
        <v>469</v>
      </c>
      <c r="D74" s="14" t="s">
        <v>167</v>
      </c>
      <c r="E74" s="14" t="s">
        <v>167</v>
      </c>
      <c r="F74" s="14" t="s">
        <v>167</v>
      </c>
      <c r="G74" s="14" t="s">
        <v>167</v>
      </c>
      <c r="H74" s="14" t="s">
        <v>167</v>
      </c>
      <c r="I74" s="14" t="s">
        <v>167</v>
      </c>
      <c r="J74" s="14" t="s">
        <v>167</v>
      </c>
      <c r="K74" s="14" t="s">
        <v>167</v>
      </c>
      <c r="L74" s="14" t="s">
        <v>167</v>
      </c>
      <c r="M74" s="14" t="s">
        <v>167</v>
      </c>
    </row>
    <row r="75" spans="2:13" x14ac:dyDescent="0.2">
      <c r="B75" s="13" t="s">
        <v>462</v>
      </c>
      <c r="C75" s="13" t="s">
        <v>471</v>
      </c>
      <c r="D75" s="14" t="b">
        <v>1</v>
      </c>
      <c r="E75" s="14" t="b">
        <v>1</v>
      </c>
      <c r="F75" s="14" t="b">
        <v>1</v>
      </c>
      <c r="G75" s="14" t="b">
        <v>1</v>
      </c>
      <c r="H75" s="14" t="b">
        <v>1</v>
      </c>
      <c r="I75" s="14" t="b">
        <v>1</v>
      </c>
      <c r="J75" s="14" t="b">
        <v>1</v>
      </c>
      <c r="K75" s="14" t="b">
        <v>1</v>
      </c>
      <c r="L75" s="14" t="b">
        <v>1</v>
      </c>
      <c r="M75" s="14" t="b">
        <v>1</v>
      </c>
    </row>
    <row r="76" spans="2:13" hidden="1" x14ac:dyDescent="0.2">
      <c r="B76" s="13" t="s">
        <v>60</v>
      </c>
      <c r="C76" s="13" t="s">
        <v>469</v>
      </c>
      <c r="D76" s="14" t="s">
        <v>65</v>
      </c>
      <c r="E76" s="14" t="s">
        <v>65</v>
      </c>
      <c r="F76" s="14" t="s">
        <v>65</v>
      </c>
      <c r="G76" s="14" t="s">
        <v>65</v>
      </c>
      <c r="H76" s="14" t="s">
        <v>65</v>
      </c>
      <c r="I76" s="14" t="s">
        <v>65</v>
      </c>
      <c r="J76" s="14" t="s">
        <v>65</v>
      </c>
      <c r="K76" s="14" t="s">
        <v>65</v>
      </c>
      <c r="L76" s="14" t="s">
        <v>65</v>
      </c>
      <c r="M76" s="14" t="s">
        <v>65</v>
      </c>
    </row>
    <row r="77" spans="2:13" hidden="1" x14ac:dyDescent="0.2">
      <c r="B77" s="13" t="s">
        <v>59</v>
      </c>
      <c r="C77" s="13" t="s">
        <v>469</v>
      </c>
      <c r="D77" s="14" t="s">
        <v>66</v>
      </c>
      <c r="E77" s="14" t="s">
        <v>66</v>
      </c>
      <c r="F77" s="14" t="s">
        <v>66</v>
      </c>
      <c r="G77" s="14" t="s">
        <v>66</v>
      </c>
      <c r="H77" s="14" t="s">
        <v>66</v>
      </c>
      <c r="I77" s="14" t="s">
        <v>66</v>
      </c>
      <c r="J77" s="14" t="s">
        <v>66</v>
      </c>
      <c r="K77" s="14" t="s">
        <v>66</v>
      </c>
      <c r="L77" s="14" t="s">
        <v>66</v>
      </c>
      <c r="M77" s="14" t="s">
        <v>66</v>
      </c>
    </row>
    <row r="78" spans="2:13" hidden="1" x14ac:dyDescent="0.2">
      <c r="B78" s="13" t="s">
        <v>61</v>
      </c>
      <c r="C78" s="13" t="s">
        <v>469</v>
      </c>
      <c r="D78" s="14" t="s">
        <v>67</v>
      </c>
      <c r="E78" s="14" t="s">
        <v>67</v>
      </c>
      <c r="F78" s="14" t="s">
        <v>67</v>
      </c>
      <c r="G78" s="14" t="s">
        <v>67</v>
      </c>
      <c r="H78" s="14" t="s">
        <v>67</v>
      </c>
      <c r="I78" s="14" t="s">
        <v>67</v>
      </c>
      <c r="J78" s="14" t="s">
        <v>67</v>
      </c>
      <c r="K78" s="14" t="s">
        <v>67</v>
      </c>
      <c r="L78" s="14" t="s">
        <v>67</v>
      </c>
      <c r="M78" s="14" t="s">
        <v>67</v>
      </c>
    </row>
    <row r="79" spans="2:13" hidden="1" x14ac:dyDescent="0.2">
      <c r="B79" s="13" t="s">
        <v>170</v>
      </c>
      <c r="C79" s="13"/>
      <c r="D79" s="14" t="s">
        <v>171</v>
      </c>
      <c r="E79" s="14" t="s">
        <v>171</v>
      </c>
      <c r="F79" s="14" t="s">
        <v>171</v>
      </c>
      <c r="G79" s="14" t="s">
        <v>171</v>
      </c>
      <c r="H79" s="14" t="s">
        <v>171</v>
      </c>
      <c r="I79" s="14" t="s">
        <v>171</v>
      </c>
      <c r="J79" s="14" t="s">
        <v>171</v>
      </c>
      <c r="K79" s="14" t="s">
        <v>171</v>
      </c>
      <c r="L79" s="14" t="s">
        <v>171</v>
      </c>
      <c r="M79" s="14" t="s">
        <v>171</v>
      </c>
    </row>
    <row r="80" spans="2:13" hidden="1" x14ac:dyDescent="0.2">
      <c r="B80" s="13" t="s">
        <v>328</v>
      </c>
      <c r="C80" s="13"/>
      <c r="D80" s="14">
        <v>0.05</v>
      </c>
      <c r="E80" s="14">
        <v>0.05</v>
      </c>
      <c r="F80" s="14">
        <v>0.05</v>
      </c>
      <c r="G80" s="14">
        <v>0.05</v>
      </c>
      <c r="H80" s="14">
        <v>0.05</v>
      </c>
      <c r="I80" s="14">
        <v>0.05</v>
      </c>
      <c r="J80" s="14">
        <v>0.05</v>
      </c>
      <c r="K80" s="14">
        <v>0.05</v>
      </c>
      <c r="L80" s="14">
        <v>0.05</v>
      </c>
      <c r="M80" s="14">
        <v>0.05</v>
      </c>
    </row>
    <row r="81" spans="2:13" x14ac:dyDescent="0.2">
      <c r="B81" s="13" t="s">
        <v>47</v>
      </c>
      <c r="C81" s="13"/>
      <c r="D81" s="14" t="s">
        <v>15</v>
      </c>
      <c r="E81" s="14" t="s">
        <v>15</v>
      </c>
      <c r="F81" s="14" t="s">
        <v>15</v>
      </c>
      <c r="G81" s="14" t="s">
        <v>15</v>
      </c>
      <c r="H81" s="14" t="s">
        <v>15</v>
      </c>
      <c r="I81" s="14" t="s">
        <v>15</v>
      </c>
      <c r="J81" s="14" t="s">
        <v>15</v>
      </c>
      <c r="K81" s="14" t="s">
        <v>15</v>
      </c>
      <c r="L81" s="14" t="s">
        <v>15</v>
      </c>
      <c r="M81" s="14" t="s">
        <v>15</v>
      </c>
    </row>
    <row r="82" spans="2:13" hidden="1" x14ac:dyDescent="0.2">
      <c r="B82" s="13" t="s">
        <v>329</v>
      </c>
      <c r="C82" s="13"/>
      <c r="D82" s="14" t="s">
        <v>16</v>
      </c>
      <c r="E82" s="14" t="s">
        <v>16</v>
      </c>
      <c r="F82" s="14" t="s">
        <v>16</v>
      </c>
      <c r="G82" s="14" t="s">
        <v>16</v>
      </c>
      <c r="H82" s="14" t="s">
        <v>16</v>
      </c>
      <c r="I82" s="14" t="s">
        <v>16</v>
      </c>
      <c r="J82" s="14" t="s">
        <v>16</v>
      </c>
      <c r="K82" s="14" t="s">
        <v>16</v>
      </c>
      <c r="L82" s="14" t="s">
        <v>16</v>
      </c>
      <c r="M82" s="14" t="s">
        <v>16</v>
      </c>
    </row>
    <row r="83" spans="2:13" hidden="1" x14ac:dyDescent="0.2">
      <c r="B83" s="13" t="s">
        <v>330</v>
      </c>
      <c r="C83" s="13"/>
      <c r="D83" s="14">
        <v>0.05</v>
      </c>
      <c r="E83" s="14">
        <v>0.05</v>
      </c>
      <c r="F83" s="14">
        <v>0.05</v>
      </c>
      <c r="G83" s="14">
        <v>0.05</v>
      </c>
      <c r="H83" s="14">
        <v>0.05</v>
      </c>
      <c r="I83" s="14">
        <v>0.05</v>
      </c>
      <c r="J83" s="14">
        <v>0.05</v>
      </c>
      <c r="K83" s="14">
        <v>0.05</v>
      </c>
      <c r="L83" s="14">
        <v>0.05</v>
      </c>
      <c r="M83" s="14">
        <v>0.05</v>
      </c>
    </row>
    <row r="84" spans="2:13" hidden="1" x14ac:dyDescent="0.2">
      <c r="B84" s="13" t="s">
        <v>331</v>
      </c>
      <c r="C84" s="13"/>
      <c r="D84" s="14">
        <v>-9999</v>
      </c>
      <c r="E84" s="14">
        <v>-9999</v>
      </c>
      <c r="F84" s="14">
        <v>-9999</v>
      </c>
      <c r="G84" s="14">
        <v>-9999</v>
      </c>
      <c r="H84" s="14">
        <v>-9999</v>
      </c>
      <c r="I84" s="14">
        <v>-9999</v>
      </c>
      <c r="J84" s="14">
        <v>-9999</v>
      </c>
      <c r="K84" s="14">
        <v>-9999</v>
      </c>
      <c r="L84" s="14">
        <v>-9999</v>
      </c>
      <c r="M84" s="14">
        <v>-9999</v>
      </c>
    </row>
    <row r="85" spans="2:13" hidden="1" x14ac:dyDescent="0.2">
      <c r="B85" s="13" t="s">
        <v>332</v>
      </c>
      <c r="C85" s="13"/>
      <c r="D85" s="14">
        <v>-9999</v>
      </c>
      <c r="E85" s="14">
        <v>-9999</v>
      </c>
      <c r="F85" s="14">
        <v>-9999</v>
      </c>
      <c r="G85" s="14">
        <v>-9999</v>
      </c>
      <c r="H85" s="14">
        <v>-9999</v>
      </c>
      <c r="I85" s="14">
        <v>-9999</v>
      </c>
      <c r="J85" s="14">
        <v>-9999</v>
      </c>
      <c r="K85" s="14">
        <v>-9999</v>
      </c>
      <c r="L85" s="14">
        <v>-9999</v>
      </c>
      <c r="M85" s="14">
        <v>-9999</v>
      </c>
    </row>
    <row r="86" spans="2:13" hidden="1" x14ac:dyDescent="0.2">
      <c r="B86" s="13" t="s">
        <v>333</v>
      </c>
      <c r="C86" s="13"/>
      <c r="D86" s="14" t="b">
        <v>0</v>
      </c>
      <c r="E86" s="14" t="b">
        <v>0</v>
      </c>
      <c r="F86" s="14" t="b">
        <v>0</v>
      </c>
      <c r="G86" s="14" t="b">
        <v>0</v>
      </c>
      <c r="H86" s="14" t="b">
        <v>0</v>
      </c>
      <c r="I86" s="14" t="b">
        <v>0</v>
      </c>
      <c r="J86" s="14" t="b">
        <v>0</v>
      </c>
      <c r="K86" s="14" t="b">
        <v>0</v>
      </c>
      <c r="L86" s="14" t="b">
        <v>0</v>
      </c>
      <c r="M86" s="14" t="b">
        <v>0</v>
      </c>
    </row>
    <row r="87" spans="2:13" x14ac:dyDescent="0.2">
      <c r="B87" s="13" t="s">
        <v>46</v>
      </c>
      <c r="C87" s="13"/>
      <c r="D87" s="14">
        <v>0.05</v>
      </c>
      <c r="E87" s="14">
        <v>0.05</v>
      </c>
      <c r="F87" s="14">
        <v>0.05</v>
      </c>
      <c r="G87" s="14">
        <v>0.05</v>
      </c>
      <c r="H87" s="14">
        <v>0.05</v>
      </c>
      <c r="I87" s="14">
        <v>0.05</v>
      </c>
      <c r="J87" s="14">
        <v>0.05</v>
      </c>
      <c r="K87" s="14">
        <v>0.05</v>
      </c>
      <c r="L87" s="14">
        <v>0.05</v>
      </c>
      <c r="M87" s="14">
        <v>0.05</v>
      </c>
    </row>
    <row r="88" spans="2:13" hidden="1" x14ac:dyDescent="0.2">
      <c r="B88" s="13" t="s">
        <v>334</v>
      </c>
      <c r="C88" s="13"/>
      <c r="D88" s="14">
        <v>300</v>
      </c>
      <c r="E88" s="14">
        <v>300</v>
      </c>
      <c r="F88" s="14">
        <v>300</v>
      </c>
      <c r="G88" s="14">
        <v>300</v>
      </c>
      <c r="H88" s="14">
        <v>300</v>
      </c>
      <c r="I88" s="14">
        <v>300</v>
      </c>
      <c r="J88" s="14">
        <v>300</v>
      </c>
      <c r="K88" s="14">
        <v>300</v>
      </c>
      <c r="L88" s="14">
        <v>300</v>
      </c>
      <c r="M88" s="14">
        <v>300</v>
      </c>
    </row>
    <row r="89" spans="2:13" hidden="1" x14ac:dyDescent="0.2">
      <c r="B89" s="13" t="s">
        <v>335</v>
      </c>
      <c r="C89" s="13"/>
      <c r="D89" s="14" t="b">
        <v>0</v>
      </c>
      <c r="E89" s="14" t="b">
        <v>0</v>
      </c>
      <c r="F89" s="14" t="b">
        <v>0</v>
      </c>
      <c r="G89" s="14" t="b">
        <v>0</v>
      </c>
      <c r="H89" s="14" t="b">
        <v>0</v>
      </c>
      <c r="I89" s="14" t="b">
        <v>0</v>
      </c>
      <c r="J89" s="14" t="b">
        <v>0</v>
      </c>
      <c r="K89" s="14" t="b">
        <v>0</v>
      </c>
      <c r="L89" s="14" t="b">
        <v>0</v>
      </c>
      <c r="M89" s="14" t="b">
        <v>0</v>
      </c>
    </row>
    <row r="90" spans="2:13" hidden="1" x14ac:dyDescent="0.2">
      <c r="B90" s="13" t="s">
        <v>336</v>
      </c>
      <c r="C90" s="13"/>
      <c r="D90" s="14"/>
      <c r="E90" s="14"/>
      <c r="F90" s="14"/>
      <c r="G90" s="14"/>
      <c r="H90" s="14"/>
      <c r="I90" s="14"/>
      <c r="J90" s="14"/>
      <c r="K90" s="14"/>
      <c r="L90" s="14"/>
      <c r="M90" s="14"/>
    </row>
    <row r="91" spans="2:13" hidden="1" x14ac:dyDescent="0.2">
      <c r="B91" s="13" t="s">
        <v>860</v>
      </c>
      <c r="C91" s="13"/>
      <c r="D91" s="14"/>
      <c r="E91" s="14"/>
      <c r="F91" s="14"/>
      <c r="G91" s="14"/>
      <c r="H91" s="14"/>
      <c r="I91" s="14"/>
      <c r="J91" s="14"/>
      <c r="K91" s="14"/>
      <c r="L91" s="14"/>
      <c r="M91" s="14"/>
    </row>
    <row r="92" spans="2:13" hidden="1" x14ac:dyDescent="0.2">
      <c r="B92" s="13" t="s">
        <v>338</v>
      </c>
      <c r="C92" s="13"/>
      <c r="D92" s="14"/>
      <c r="E92" s="14"/>
      <c r="F92" s="14"/>
      <c r="G92" s="14"/>
      <c r="H92" s="14"/>
      <c r="I92" s="14"/>
      <c r="J92" s="14"/>
      <c r="K92" s="14"/>
      <c r="L92" s="14"/>
      <c r="M92" s="14"/>
    </row>
    <row r="93" spans="2:13" hidden="1" x14ac:dyDescent="0.2">
      <c r="B93" s="13" t="s">
        <v>339</v>
      </c>
      <c r="C93" s="13"/>
      <c r="D93" s="14"/>
      <c r="E93" s="14"/>
      <c r="F93" s="14"/>
      <c r="G93" s="14"/>
      <c r="H93" s="14"/>
      <c r="I93" s="14"/>
      <c r="J93" s="14"/>
      <c r="K93" s="14"/>
      <c r="L93" s="14"/>
      <c r="M93" s="14"/>
    </row>
    <row r="94" spans="2:13" x14ac:dyDescent="0.2">
      <c r="B94" s="13" t="s">
        <v>477</v>
      </c>
      <c r="C94" s="13" t="s">
        <v>471</v>
      </c>
      <c r="D94" s="14" t="b">
        <v>1</v>
      </c>
      <c r="E94" s="14" t="b">
        <v>1</v>
      </c>
      <c r="F94" s="14" t="b">
        <v>1</v>
      </c>
      <c r="G94" s="14" t="b">
        <v>1</v>
      </c>
      <c r="H94" s="14" t="b">
        <v>1</v>
      </c>
      <c r="I94" s="14" t="b">
        <v>1</v>
      </c>
      <c r="J94" s="14" t="b">
        <v>1</v>
      </c>
      <c r="K94" s="14" t="b">
        <v>1</v>
      </c>
      <c r="L94" s="14" t="b">
        <v>1</v>
      </c>
      <c r="M94" s="14" t="b">
        <v>1</v>
      </c>
    </row>
    <row r="95" spans="2:13" x14ac:dyDescent="0.2">
      <c r="B95" s="13" t="s">
        <v>478</v>
      </c>
      <c r="C95" s="13" t="s">
        <v>471</v>
      </c>
      <c r="D95" s="14" t="b">
        <v>1</v>
      </c>
      <c r="E95" s="14" t="b">
        <v>1</v>
      </c>
      <c r="F95" s="14" t="b">
        <v>1</v>
      </c>
      <c r="G95" s="14" t="b">
        <v>1</v>
      </c>
      <c r="H95" s="14" t="b">
        <v>1</v>
      </c>
      <c r="I95" s="14" t="b">
        <v>1</v>
      </c>
      <c r="J95" s="14" t="b">
        <v>1</v>
      </c>
      <c r="K95" s="14" t="b">
        <v>1</v>
      </c>
      <c r="L95" s="14" t="b">
        <v>1</v>
      </c>
      <c r="M95" s="14" t="b">
        <v>1</v>
      </c>
    </row>
    <row r="96" spans="2:13" x14ac:dyDescent="0.2">
      <c r="B96" s="13" t="s">
        <v>479</v>
      </c>
      <c r="C96" s="13" t="s">
        <v>471</v>
      </c>
      <c r="D96" s="14" t="b">
        <v>1</v>
      </c>
      <c r="E96" s="14" t="b">
        <v>1</v>
      </c>
      <c r="F96" s="14" t="b">
        <v>1</v>
      </c>
      <c r="G96" s="14" t="b">
        <v>1</v>
      </c>
      <c r="H96" s="14" t="b">
        <v>1</v>
      </c>
      <c r="I96" s="14" t="b">
        <v>1</v>
      </c>
      <c r="J96" s="14" t="b">
        <v>1</v>
      </c>
      <c r="K96" s="14" t="b">
        <v>1</v>
      </c>
      <c r="L96" s="14" t="b">
        <v>1</v>
      </c>
      <c r="M96" s="14" t="b">
        <v>1</v>
      </c>
    </row>
    <row r="97" spans="2:13" x14ac:dyDescent="0.2">
      <c r="B97" s="13" t="s">
        <v>480</v>
      </c>
      <c r="C97" s="13" t="s">
        <v>471</v>
      </c>
      <c r="D97" s="14" t="b">
        <v>1</v>
      </c>
      <c r="E97" s="14" t="b">
        <v>1</v>
      </c>
      <c r="F97" s="14" t="b">
        <v>1</v>
      </c>
      <c r="G97" s="14" t="b">
        <v>1</v>
      </c>
      <c r="H97" s="14" t="b">
        <v>1</v>
      </c>
      <c r="I97" s="14" t="b">
        <v>1</v>
      </c>
      <c r="J97" s="14" t="b">
        <v>1</v>
      </c>
      <c r="K97" s="14" t="b">
        <v>1</v>
      </c>
      <c r="L97" s="14" t="b">
        <v>1</v>
      </c>
      <c r="M97" s="14" t="b">
        <v>1</v>
      </c>
    </row>
    <row r="98" spans="2:13" x14ac:dyDescent="0.2">
      <c r="B98" s="13" t="s">
        <v>481</v>
      </c>
      <c r="C98" s="13" t="s">
        <v>471</v>
      </c>
      <c r="D98" s="14" t="b">
        <v>1</v>
      </c>
      <c r="E98" s="14" t="b">
        <v>1</v>
      </c>
      <c r="F98" s="14" t="b">
        <v>1</v>
      </c>
      <c r="G98" s="14" t="b">
        <v>1</v>
      </c>
      <c r="H98" s="14" t="b">
        <v>1</v>
      </c>
      <c r="I98" s="14" t="b">
        <v>1</v>
      </c>
      <c r="J98" s="14" t="b">
        <v>1</v>
      </c>
      <c r="K98" s="14" t="b">
        <v>1</v>
      </c>
      <c r="L98" s="14" t="b">
        <v>1</v>
      </c>
      <c r="M98" s="14" t="b">
        <v>1</v>
      </c>
    </row>
    <row r="99" spans="2:13" x14ac:dyDescent="0.2">
      <c r="B99" s="13" t="s">
        <v>42</v>
      </c>
      <c r="C99" s="13" t="s">
        <v>467</v>
      </c>
      <c r="D99" s="85">
        <v>250</v>
      </c>
      <c r="E99" s="85">
        <v>250</v>
      </c>
      <c r="F99" s="85">
        <v>250</v>
      </c>
      <c r="G99" s="85">
        <v>250</v>
      </c>
      <c r="H99" s="85">
        <v>250</v>
      </c>
      <c r="I99" s="85">
        <v>250</v>
      </c>
      <c r="J99" s="85">
        <v>250</v>
      </c>
      <c r="K99" s="85">
        <v>250</v>
      </c>
      <c r="L99" s="85">
        <v>250</v>
      </c>
      <c r="M99" s="85">
        <v>250</v>
      </c>
    </row>
    <row r="100" spans="2:13" x14ac:dyDescent="0.2">
      <c r="B100" s="13" t="s">
        <v>43</v>
      </c>
      <c r="C100" s="13" t="s">
        <v>468</v>
      </c>
      <c r="D100" s="85">
        <v>1E-8</v>
      </c>
      <c r="E100" s="85">
        <v>1E-8</v>
      </c>
      <c r="F100" s="85">
        <v>1E-8</v>
      </c>
      <c r="G100" s="85">
        <v>1E-8</v>
      </c>
      <c r="H100" s="85">
        <v>1E-8</v>
      </c>
      <c r="I100" s="85">
        <v>1E-8</v>
      </c>
      <c r="J100" s="85">
        <v>1E-8</v>
      </c>
      <c r="K100" s="85">
        <v>1E-8</v>
      </c>
      <c r="L100" s="85">
        <v>1E-8</v>
      </c>
      <c r="M100" s="85">
        <v>1E-8</v>
      </c>
    </row>
    <row r="101" spans="2:13" x14ac:dyDescent="0.2">
      <c r="B101" s="13" t="s">
        <v>44</v>
      </c>
      <c r="C101" s="13" t="s">
        <v>468</v>
      </c>
      <c r="D101" s="85">
        <v>1E-8</v>
      </c>
      <c r="E101" s="85">
        <v>1E-8</v>
      </c>
      <c r="F101" s="85">
        <v>1E-8</v>
      </c>
      <c r="G101" s="85">
        <v>1E-8</v>
      </c>
      <c r="H101" s="85">
        <v>1E-8</v>
      </c>
      <c r="I101" s="85">
        <v>1E-8</v>
      </c>
      <c r="J101" s="85">
        <v>1E-8</v>
      </c>
      <c r="K101" s="85">
        <v>1E-8</v>
      </c>
      <c r="L101" s="85">
        <v>1E-8</v>
      </c>
      <c r="M101" s="85">
        <v>1E-8</v>
      </c>
    </row>
    <row r="102" spans="2:13" x14ac:dyDescent="0.2">
      <c r="B102" s="13" t="s">
        <v>340</v>
      </c>
      <c r="C102" s="13" t="s">
        <v>470</v>
      </c>
      <c r="D102" s="16" t="s">
        <v>431</v>
      </c>
      <c r="E102" s="14" t="s">
        <v>431</v>
      </c>
      <c r="F102" s="16" t="s">
        <v>431</v>
      </c>
      <c r="G102" s="14" t="s">
        <v>431</v>
      </c>
      <c r="H102" s="14" t="s">
        <v>431</v>
      </c>
      <c r="I102" s="16" t="s">
        <v>431</v>
      </c>
      <c r="J102" s="16" t="s">
        <v>431</v>
      </c>
      <c r="K102" s="16" t="s">
        <v>431</v>
      </c>
      <c r="L102" s="16" t="s">
        <v>431</v>
      </c>
      <c r="M102" s="16" t="s">
        <v>431</v>
      </c>
    </row>
    <row r="103" spans="2:13" x14ac:dyDescent="0.2">
      <c r="B103" s="13" t="s">
        <v>341</v>
      </c>
      <c r="C103" s="13" t="s">
        <v>470</v>
      </c>
      <c r="D103" s="16" t="s">
        <v>431</v>
      </c>
      <c r="E103" s="16" t="s">
        <v>431</v>
      </c>
      <c r="F103" s="16" t="s">
        <v>431</v>
      </c>
      <c r="G103" s="16" t="s">
        <v>431</v>
      </c>
      <c r="H103" s="16" t="s">
        <v>431</v>
      </c>
      <c r="I103" s="16" t="s">
        <v>431</v>
      </c>
      <c r="J103" s="16" t="s">
        <v>431</v>
      </c>
      <c r="K103" s="14" t="s">
        <v>431</v>
      </c>
      <c r="L103" s="14" t="s">
        <v>431</v>
      </c>
      <c r="M103" s="14" t="s">
        <v>431</v>
      </c>
    </row>
    <row r="104" spans="2:13" x14ac:dyDescent="0.2">
      <c r="B104" s="13" t="s">
        <v>24</v>
      </c>
      <c r="C104" s="13" t="s">
        <v>470</v>
      </c>
      <c r="D104" s="16" t="s">
        <v>431</v>
      </c>
      <c r="E104" s="14" t="s">
        <v>431</v>
      </c>
      <c r="F104" s="14" t="s">
        <v>431</v>
      </c>
      <c r="G104" s="14" t="s">
        <v>431</v>
      </c>
      <c r="H104" s="14" t="s">
        <v>431</v>
      </c>
      <c r="I104" s="14" t="s">
        <v>431</v>
      </c>
      <c r="J104" s="16" t="s">
        <v>431</v>
      </c>
      <c r="K104" s="14" t="s">
        <v>431</v>
      </c>
      <c r="L104" s="14" t="s">
        <v>431</v>
      </c>
      <c r="M104" s="14" t="s">
        <v>431</v>
      </c>
    </row>
    <row r="105" spans="2:13" x14ac:dyDescent="0.2">
      <c r="B105" s="13" t="s">
        <v>342</v>
      </c>
      <c r="C105" s="13" t="s">
        <v>470</v>
      </c>
      <c r="D105" s="14" t="s">
        <v>431</v>
      </c>
      <c r="E105" s="14" t="s">
        <v>431</v>
      </c>
      <c r="F105" s="14" t="s">
        <v>431</v>
      </c>
      <c r="G105" s="14" t="s">
        <v>431</v>
      </c>
      <c r="H105" s="14" t="s">
        <v>431</v>
      </c>
      <c r="I105" s="14" t="s">
        <v>431</v>
      </c>
      <c r="J105" s="14" t="s">
        <v>431</v>
      </c>
      <c r="K105" s="14" t="s">
        <v>431</v>
      </c>
      <c r="L105" s="14" t="s">
        <v>431</v>
      </c>
      <c r="M105" s="14" t="s">
        <v>431</v>
      </c>
    </row>
    <row r="106" spans="2:13" x14ac:dyDescent="0.2">
      <c r="B106" s="13" t="s">
        <v>343</v>
      </c>
      <c r="C106" s="13" t="s">
        <v>470</v>
      </c>
      <c r="D106" s="14" t="s">
        <v>431</v>
      </c>
      <c r="E106" s="14" t="s">
        <v>431</v>
      </c>
      <c r="F106" s="14" t="s">
        <v>431</v>
      </c>
      <c r="G106" s="14" t="s">
        <v>431</v>
      </c>
      <c r="H106" s="14" t="s">
        <v>431</v>
      </c>
      <c r="I106" s="14" t="s">
        <v>431</v>
      </c>
      <c r="J106" s="14" t="s">
        <v>431</v>
      </c>
      <c r="K106" s="14" t="s">
        <v>431</v>
      </c>
      <c r="L106" s="14" t="s">
        <v>431</v>
      </c>
      <c r="M106" s="14" t="s">
        <v>431</v>
      </c>
    </row>
    <row r="107" spans="2:13" x14ac:dyDescent="0.2">
      <c r="B107" s="13" t="s">
        <v>344</v>
      </c>
      <c r="C107" s="13" t="s">
        <v>470</v>
      </c>
      <c r="D107" s="14" t="s">
        <v>431</v>
      </c>
      <c r="E107" s="14" t="s">
        <v>431</v>
      </c>
      <c r="F107" s="14" t="s">
        <v>431</v>
      </c>
      <c r="G107" s="14" t="s">
        <v>431</v>
      </c>
      <c r="H107" s="14" t="s">
        <v>431</v>
      </c>
      <c r="I107" s="14" t="s">
        <v>431</v>
      </c>
      <c r="J107" s="14" t="s">
        <v>431</v>
      </c>
      <c r="K107" s="14" t="s">
        <v>431</v>
      </c>
      <c r="L107" s="14" t="s">
        <v>431</v>
      </c>
      <c r="M107" s="14" t="s">
        <v>431</v>
      </c>
    </row>
    <row r="108" spans="2:13" x14ac:dyDescent="0.2">
      <c r="B108" s="13" t="s">
        <v>345</v>
      </c>
      <c r="C108" s="13" t="s">
        <v>470</v>
      </c>
      <c r="D108" s="14" t="s">
        <v>431</v>
      </c>
      <c r="E108" s="16" t="s">
        <v>431</v>
      </c>
      <c r="F108" s="16" t="s">
        <v>431</v>
      </c>
      <c r="G108" s="16" t="s">
        <v>431</v>
      </c>
      <c r="H108" s="16" t="s">
        <v>431</v>
      </c>
      <c r="I108" s="16" t="s">
        <v>431</v>
      </c>
      <c r="J108" s="14" t="s">
        <v>431</v>
      </c>
      <c r="K108" s="14" t="s">
        <v>431</v>
      </c>
      <c r="L108" s="14" t="s">
        <v>431</v>
      </c>
      <c r="M108" s="14" t="s">
        <v>431</v>
      </c>
    </row>
    <row r="109" spans="2:13" x14ac:dyDescent="0.2">
      <c r="B109" s="13" t="s">
        <v>346</v>
      </c>
      <c r="C109" s="13" t="s">
        <v>470</v>
      </c>
      <c r="D109" s="14" t="s">
        <v>431</v>
      </c>
      <c r="E109" s="14" t="s">
        <v>431</v>
      </c>
      <c r="F109" s="14" t="s">
        <v>431</v>
      </c>
      <c r="G109" s="14" t="s">
        <v>431</v>
      </c>
      <c r="H109" s="14" t="s">
        <v>431</v>
      </c>
      <c r="I109" s="14" t="s">
        <v>431</v>
      </c>
      <c r="J109" s="14" t="s">
        <v>431</v>
      </c>
      <c r="K109" s="14" t="s">
        <v>431</v>
      </c>
      <c r="L109" s="14" t="s">
        <v>431</v>
      </c>
      <c r="M109" s="14" t="s">
        <v>431</v>
      </c>
    </row>
    <row r="110" spans="2:13" x14ac:dyDescent="0.2">
      <c r="B110" s="13" t="s">
        <v>347</v>
      </c>
      <c r="C110" s="13" t="s">
        <v>470</v>
      </c>
      <c r="D110" s="14" t="s">
        <v>431</v>
      </c>
      <c r="E110" s="14" t="s">
        <v>431</v>
      </c>
      <c r="F110" s="14" t="s">
        <v>431</v>
      </c>
      <c r="G110" s="14" t="s">
        <v>431</v>
      </c>
      <c r="H110" s="14" t="s">
        <v>431</v>
      </c>
      <c r="I110" s="14" t="s">
        <v>431</v>
      </c>
      <c r="J110" s="14" t="s">
        <v>431</v>
      </c>
      <c r="K110" s="14" t="s">
        <v>431</v>
      </c>
      <c r="L110" s="14" t="s">
        <v>431</v>
      </c>
      <c r="M110" s="14" t="s">
        <v>431</v>
      </c>
    </row>
    <row r="111" spans="2:13" x14ac:dyDescent="0.2">
      <c r="B111" s="13" t="s">
        <v>348</v>
      </c>
      <c r="C111" s="13" t="s">
        <v>470</v>
      </c>
      <c r="D111" s="14" t="s">
        <v>431</v>
      </c>
      <c r="E111" s="14" t="s">
        <v>431</v>
      </c>
      <c r="F111" s="14" t="s">
        <v>431</v>
      </c>
      <c r="G111" s="14" t="s">
        <v>431</v>
      </c>
      <c r="H111" s="14" t="s">
        <v>431</v>
      </c>
      <c r="I111" s="14" t="s">
        <v>431</v>
      </c>
      <c r="J111" s="14" t="s">
        <v>431</v>
      </c>
      <c r="K111" s="16" t="s">
        <v>431</v>
      </c>
      <c r="L111" s="16" t="s">
        <v>431</v>
      </c>
      <c r="M111" s="16" t="s">
        <v>431</v>
      </c>
    </row>
    <row r="112" spans="2:13" x14ac:dyDescent="0.2">
      <c r="B112" s="13" t="s">
        <v>349</v>
      </c>
      <c r="C112" s="13" t="s">
        <v>470</v>
      </c>
      <c r="D112" s="14" t="s">
        <v>431</v>
      </c>
      <c r="E112" s="14" t="s">
        <v>431</v>
      </c>
      <c r="F112" s="14" t="s">
        <v>431</v>
      </c>
      <c r="G112" s="14" t="s">
        <v>431</v>
      </c>
      <c r="H112" s="14" t="s">
        <v>431</v>
      </c>
      <c r="I112" s="14" t="s">
        <v>431</v>
      </c>
      <c r="J112" s="14" t="s">
        <v>431</v>
      </c>
      <c r="K112" s="16" t="s">
        <v>431</v>
      </c>
      <c r="L112" s="16" t="s">
        <v>431</v>
      </c>
      <c r="M112" s="16" t="s">
        <v>431</v>
      </c>
    </row>
    <row r="113" spans="2:13" x14ac:dyDescent="0.2">
      <c r="B113" s="13" t="s">
        <v>350</v>
      </c>
      <c r="C113" s="13" t="s">
        <v>470</v>
      </c>
      <c r="D113" s="14" t="s">
        <v>431</v>
      </c>
      <c r="E113" s="14" t="s">
        <v>431</v>
      </c>
      <c r="F113" s="14" t="s">
        <v>431</v>
      </c>
      <c r="G113" s="14" t="s">
        <v>431</v>
      </c>
      <c r="H113" s="14" t="s">
        <v>431</v>
      </c>
      <c r="I113" s="14" t="s">
        <v>431</v>
      </c>
      <c r="J113" s="14" t="s">
        <v>431</v>
      </c>
      <c r="K113" s="16" t="s">
        <v>431</v>
      </c>
      <c r="L113" s="16" t="s">
        <v>431</v>
      </c>
      <c r="M113" s="16" t="s">
        <v>431</v>
      </c>
    </row>
    <row r="114" spans="2:13" x14ac:dyDescent="0.2">
      <c r="B114" s="13" t="s">
        <v>351</v>
      </c>
      <c r="C114" s="13" t="s">
        <v>470</v>
      </c>
      <c r="D114" s="14" t="s">
        <v>431</v>
      </c>
      <c r="E114" s="14" t="s">
        <v>431</v>
      </c>
      <c r="F114" s="14" t="s">
        <v>431</v>
      </c>
      <c r="G114" s="14" t="s">
        <v>431</v>
      </c>
      <c r="H114" s="14" t="s">
        <v>431</v>
      </c>
      <c r="I114" s="14" t="s">
        <v>431</v>
      </c>
      <c r="J114" s="14" t="s">
        <v>431</v>
      </c>
      <c r="K114" s="16" t="s">
        <v>431</v>
      </c>
      <c r="L114" s="16" t="s">
        <v>431</v>
      </c>
      <c r="M114" s="16" t="s">
        <v>431</v>
      </c>
    </row>
    <row r="115" spans="2:13" x14ac:dyDescent="0.2">
      <c r="B115" s="13" t="s">
        <v>352</v>
      </c>
      <c r="C115" s="13" t="s">
        <v>470</v>
      </c>
      <c r="D115" s="14" t="s">
        <v>431</v>
      </c>
      <c r="E115" s="14" t="s">
        <v>431</v>
      </c>
      <c r="F115" s="14" t="s">
        <v>431</v>
      </c>
      <c r="G115" s="14" t="s">
        <v>431</v>
      </c>
      <c r="H115" s="14" t="s">
        <v>431</v>
      </c>
      <c r="I115" s="14" t="s">
        <v>431</v>
      </c>
      <c r="J115" s="14" t="s">
        <v>431</v>
      </c>
      <c r="K115" s="16" t="s">
        <v>431</v>
      </c>
      <c r="L115" s="16" t="s">
        <v>431</v>
      </c>
      <c r="M115" s="16" t="s">
        <v>431</v>
      </c>
    </row>
    <row r="116" spans="2:13" x14ac:dyDescent="0.2">
      <c r="B116" s="13" t="s">
        <v>353</v>
      </c>
      <c r="C116" s="13" t="s">
        <v>470</v>
      </c>
      <c r="D116" s="14" t="s">
        <v>431</v>
      </c>
      <c r="E116" s="14" t="s">
        <v>431</v>
      </c>
      <c r="F116" s="14" t="s">
        <v>431</v>
      </c>
      <c r="G116" s="14" t="s">
        <v>431</v>
      </c>
      <c r="H116" s="14" t="s">
        <v>431</v>
      </c>
      <c r="I116" s="14" t="s">
        <v>431</v>
      </c>
      <c r="J116" s="14" t="s">
        <v>431</v>
      </c>
      <c r="K116" s="16" t="s">
        <v>431</v>
      </c>
      <c r="L116" s="16" t="s">
        <v>431</v>
      </c>
      <c r="M116" s="16" t="s">
        <v>431</v>
      </c>
    </row>
    <row r="117" spans="2:13" x14ac:dyDescent="0.2">
      <c r="B117" s="13" t="s">
        <v>354</v>
      </c>
      <c r="C117" s="13" t="s">
        <v>470</v>
      </c>
      <c r="D117" s="14" t="s">
        <v>431</v>
      </c>
      <c r="E117" s="14" t="s">
        <v>431</v>
      </c>
      <c r="F117" s="14" t="s">
        <v>431</v>
      </c>
      <c r="G117" s="14" t="s">
        <v>431</v>
      </c>
      <c r="H117" s="14" t="s">
        <v>431</v>
      </c>
      <c r="I117" s="14" t="s">
        <v>431</v>
      </c>
      <c r="J117" s="14" t="s">
        <v>431</v>
      </c>
      <c r="K117" s="16" t="s">
        <v>431</v>
      </c>
      <c r="L117" s="16" t="s">
        <v>431</v>
      </c>
      <c r="M117" s="16" t="s">
        <v>431</v>
      </c>
    </row>
    <row r="118" spans="2:13" x14ac:dyDescent="0.2">
      <c r="B118" s="13" t="s">
        <v>355</v>
      </c>
      <c r="C118" s="13" t="s">
        <v>470</v>
      </c>
      <c r="D118" s="14" t="s">
        <v>431</v>
      </c>
      <c r="E118" s="14" t="s">
        <v>431</v>
      </c>
      <c r="F118" s="14" t="s">
        <v>431</v>
      </c>
      <c r="G118" s="14" t="s">
        <v>431</v>
      </c>
      <c r="H118" s="14" t="s">
        <v>431</v>
      </c>
      <c r="I118" s="14" t="s">
        <v>431</v>
      </c>
      <c r="J118" s="14" t="s">
        <v>431</v>
      </c>
      <c r="K118" s="16" t="s">
        <v>431</v>
      </c>
      <c r="L118" s="16" t="s">
        <v>431</v>
      </c>
      <c r="M118" s="16" t="s">
        <v>431</v>
      </c>
    </row>
    <row r="119" spans="2:13" x14ac:dyDescent="0.2">
      <c r="B119" s="13" t="s">
        <v>356</v>
      </c>
      <c r="C119" s="13" t="s">
        <v>470</v>
      </c>
      <c r="D119" s="14" t="s">
        <v>431</v>
      </c>
      <c r="E119" s="14" t="s">
        <v>431</v>
      </c>
      <c r="F119" s="14" t="s">
        <v>431</v>
      </c>
      <c r="G119" s="14" t="s">
        <v>431</v>
      </c>
      <c r="H119" s="14" t="s">
        <v>431</v>
      </c>
      <c r="I119" s="14" t="s">
        <v>431</v>
      </c>
      <c r="J119" s="14" t="s">
        <v>431</v>
      </c>
      <c r="K119" s="14" t="s">
        <v>431</v>
      </c>
      <c r="L119" s="14" t="s">
        <v>431</v>
      </c>
      <c r="M119" s="14" t="s">
        <v>431</v>
      </c>
    </row>
    <row r="120" spans="2:13" x14ac:dyDescent="0.2">
      <c r="B120" s="13" t="s">
        <v>357</v>
      </c>
      <c r="C120" s="13" t="s">
        <v>470</v>
      </c>
      <c r="D120" s="14" t="s">
        <v>431</v>
      </c>
      <c r="E120" s="14" t="s">
        <v>431</v>
      </c>
      <c r="F120" s="14" t="s">
        <v>431</v>
      </c>
      <c r="G120" s="14" t="s">
        <v>431</v>
      </c>
      <c r="H120" s="14" t="s">
        <v>431</v>
      </c>
      <c r="I120" s="14" t="s">
        <v>431</v>
      </c>
      <c r="J120" s="14" t="s">
        <v>431</v>
      </c>
      <c r="K120" s="14" t="s">
        <v>431</v>
      </c>
      <c r="L120" s="14" t="s">
        <v>431</v>
      </c>
      <c r="M120" s="14" t="s">
        <v>431</v>
      </c>
    </row>
    <row r="121" spans="2:13" x14ac:dyDescent="0.2">
      <c r="B121" s="13" t="s">
        <v>358</v>
      </c>
      <c r="C121" s="13" t="s">
        <v>470</v>
      </c>
      <c r="D121" s="14" t="s">
        <v>431</v>
      </c>
      <c r="E121" s="14" t="s">
        <v>431</v>
      </c>
      <c r="F121" s="14" t="s">
        <v>431</v>
      </c>
      <c r="G121" s="14" t="s">
        <v>431</v>
      </c>
      <c r="H121" s="14" t="s">
        <v>431</v>
      </c>
      <c r="I121" s="14" t="s">
        <v>431</v>
      </c>
      <c r="J121" s="14" t="s">
        <v>431</v>
      </c>
      <c r="K121" s="14" t="s">
        <v>431</v>
      </c>
      <c r="L121" s="14" t="s">
        <v>431</v>
      </c>
      <c r="M121" s="14" t="s">
        <v>431</v>
      </c>
    </row>
    <row r="122" spans="2:13" x14ac:dyDescent="0.2">
      <c r="B122" s="13" t="s">
        <v>359</v>
      </c>
      <c r="C122" s="13" t="s">
        <v>470</v>
      </c>
      <c r="D122" s="14" t="s">
        <v>431</v>
      </c>
      <c r="E122" s="14" t="s">
        <v>431</v>
      </c>
      <c r="F122" s="14" t="s">
        <v>431</v>
      </c>
      <c r="G122" s="14" t="s">
        <v>431</v>
      </c>
      <c r="H122" s="14" t="s">
        <v>431</v>
      </c>
      <c r="I122" s="14" t="s">
        <v>431</v>
      </c>
      <c r="J122" s="14" t="s">
        <v>431</v>
      </c>
      <c r="K122" s="14" t="s">
        <v>431</v>
      </c>
      <c r="L122" s="14" t="s">
        <v>431</v>
      </c>
      <c r="M122" s="14" t="s">
        <v>431</v>
      </c>
    </row>
    <row r="123" spans="2:13" x14ac:dyDescent="0.2">
      <c r="B123" s="13" t="s">
        <v>360</v>
      </c>
      <c r="C123" s="13" t="s">
        <v>470</v>
      </c>
      <c r="D123" s="14" t="s">
        <v>431</v>
      </c>
      <c r="E123" s="14" t="s">
        <v>431</v>
      </c>
      <c r="F123" s="14" t="s">
        <v>431</v>
      </c>
      <c r="G123" s="14" t="s">
        <v>431</v>
      </c>
      <c r="H123" s="14" t="s">
        <v>431</v>
      </c>
      <c r="I123" s="14" t="s">
        <v>431</v>
      </c>
      <c r="J123" s="14" t="s">
        <v>431</v>
      </c>
      <c r="K123" s="14" t="s">
        <v>431</v>
      </c>
      <c r="L123" s="14" t="s">
        <v>431</v>
      </c>
      <c r="M123" s="14" t="s">
        <v>431</v>
      </c>
    </row>
    <row r="124" spans="2:13" hidden="1" x14ac:dyDescent="0.2">
      <c r="B124" s="13" t="s">
        <v>361</v>
      </c>
      <c r="C124" s="13"/>
      <c r="D124" s="14" t="s">
        <v>431</v>
      </c>
      <c r="E124" s="14" t="s">
        <v>431</v>
      </c>
      <c r="F124" s="14" t="s">
        <v>431</v>
      </c>
      <c r="G124" s="14" t="s">
        <v>431</v>
      </c>
      <c r="H124" s="14" t="s">
        <v>431</v>
      </c>
      <c r="I124" s="14" t="s">
        <v>431</v>
      </c>
      <c r="J124" s="14" t="s">
        <v>431</v>
      </c>
      <c r="K124" s="14" t="s">
        <v>431</v>
      </c>
      <c r="L124" s="14" t="s">
        <v>431</v>
      </c>
      <c r="M124" s="14" t="s">
        <v>431</v>
      </c>
    </row>
    <row r="125" spans="2:13" hidden="1" x14ac:dyDescent="0.2">
      <c r="B125" s="13" t="s">
        <v>362</v>
      </c>
      <c r="C125" s="13"/>
      <c r="D125" s="14" t="s">
        <v>431</v>
      </c>
      <c r="E125" s="14" t="s">
        <v>431</v>
      </c>
      <c r="F125" s="14" t="s">
        <v>431</v>
      </c>
      <c r="G125" s="14" t="s">
        <v>431</v>
      </c>
      <c r="H125" s="14" t="s">
        <v>431</v>
      </c>
      <c r="I125" s="14" t="s">
        <v>431</v>
      </c>
      <c r="J125" s="14" t="s">
        <v>431</v>
      </c>
      <c r="K125" s="14" t="s">
        <v>431</v>
      </c>
      <c r="L125" s="14" t="s">
        <v>431</v>
      </c>
      <c r="M125" s="14" t="s">
        <v>431</v>
      </c>
    </row>
    <row r="126" spans="2:13" hidden="1" x14ac:dyDescent="0.2">
      <c r="B126" s="13" t="s">
        <v>363</v>
      </c>
      <c r="C126" s="13"/>
      <c r="D126" s="14" t="s">
        <v>431</v>
      </c>
      <c r="E126" s="14" t="s">
        <v>431</v>
      </c>
      <c r="F126" s="14" t="s">
        <v>431</v>
      </c>
      <c r="G126" s="14" t="s">
        <v>431</v>
      </c>
      <c r="H126" s="14" t="s">
        <v>431</v>
      </c>
      <c r="I126" s="14" t="s">
        <v>431</v>
      </c>
      <c r="J126" s="14" t="s">
        <v>431</v>
      </c>
      <c r="K126" s="14" t="s">
        <v>431</v>
      </c>
      <c r="L126" s="14" t="s">
        <v>431</v>
      </c>
      <c r="M126" s="14" t="s">
        <v>431</v>
      </c>
    </row>
    <row r="127" spans="2:13" hidden="1" x14ac:dyDescent="0.2">
      <c r="B127" s="13" t="s">
        <v>364</v>
      </c>
      <c r="C127" s="13"/>
      <c r="D127" s="14" t="s">
        <v>431</v>
      </c>
      <c r="E127" s="14" t="s">
        <v>431</v>
      </c>
      <c r="F127" s="14" t="s">
        <v>431</v>
      </c>
      <c r="G127" s="14" t="s">
        <v>431</v>
      </c>
      <c r="H127" s="14" t="s">
        <v>431</v>
      </c>
      <c r="I127" s="14" t="s">
        <v>431</v>
      </c>
      <c r="J127" s="14" t="s">
        <v>431</v>
      </c>
      <c r="K127" s="14" t="s">
        <v>431</v>
      </c>
      <c r="L127" s="14" t="s">
        <v>431</v>
      </c>
      <c r="M127" s="14" t="s">
        <v>431</v>
      </c>
    </row>
    <row r="128" spans="2:13" hidden="1" x14ac:dyDescent="0.2">
      <c r="B128" s="13" t="s">
        <v>365</v>
      </c>
      <c r="C128" s="13"/>
      <c r="D128" s="14" t="s">
        <v>431</v>
      </c>
      <c r="E128" s="14" t="s">
        <v>431</v>
      </c>
      <c r="F128" s="14" t="s">
        <v>431</v>
      </c>
      <c r="G128" s="14" t="s">
        <v>431</v>
      </c>
      <c r="H128" s="14" t="s">
        <v>431</v>
      </c>
      <c r="I128" s="14" t="s">
        <v>431</v>
      </c>
      <c r="J128" s="14" t="s">
        <v>431</v>
      </c>
      <c r="K128" s="14" t="s">
        <v>431</v>
      </c>
      <c r="L128" s="14" t="s">
        <v>431</v>
      </c>
      <c r="M128" s="14" t="s">
        <v>431</v>
      </c>
    </row>
    <row r="129" spans="2:13" hidden="1" x14ac:dyDescent="0.2">
      <c r="B129" s="13" t="s">
        <v>366</v>
      </c>
      <c r="C129" s="13"/>
      <c r="D129" s="14" t="s">
        <v>431</v>
      </c>
      <c r="E129" s="14" t="s">
        <v>431</v>
      </c>
      <c r="F129" s="14" t="s">
        <v>431</v>
      </c>
      <c r="G129" s="14" t="s">
        <v>431</v>
      </c>
      <c r="H129" s="14" t="s">
        <v>431</v>
      </c>
      <c r="I129" s="14" t="s">
        <v>431</v>
      </c>
      <c r="J129" s="14" t="s">
        <v>431</v>
      </c>
      <c r="K129" s="14" t="s">
        <v>431</v>
      </c>
      <c r="L129" s="14" t="s">
        <v>431</v>
      </c>
      <c r="M129" s="14" t="s">
        <v>431</v>
      </c>
    </row>
    <row r="130" spans="2:13" hidden="1" x14ac:dyDescent="0.2">
      <c r="B130" s="13" t="s">
        <v>367</v>
      </c>
      <c r="C130" s="13"/>
      <c r="D130" s="14" t="s">
        <v>431</v>
      </c>
      <c r="E130" s="14" t="s">
        <v>431</v>
      </c>
      <c r="F130" s="14" t="s">
        <v>431</v>
      </c>
      <c r="G130" s="14" t="s">
        <v>431</v>
      </c>
      <c r="H130" s="14" t="s">
        <v>431</v>
      </c>
      <c r="I130" s="14" t="s">
        <v>431</v>
      </c>
      <c r="J130" s="14" t="s">
        <v>431</v>
      </c>
      <c r="K130" s="14" t="s">
        <v>431</v>
      </c>
      <c r="L130" s="14" t="s">
        <v>431</v>
      </c>
      <c r="M130" s="14" t="s">
        <v>431</v>
      </c>
    </row>
    <row r="131" spans="2:13" x14ac:dyDescent="0.2">
      <c r="B131" s="13" t="s">
        <v>368</v>
      </c>
      <c r="C131" s="13" t="s">
        <v>470</v>
      </c>
      <c r="D131" s="14" t="s">
        <v>431</v>
      </c>
      <c r="E131" s="16" t="s">
        <v>431</v>
      </c>
      <c r="F131" s="14" t="s">
        <v>431</v>
      </c>
      <c r="G131" s="14" t="s">
        <v>431</v>
      </c>
      <c r="H131" s="14" t="s">
        <v>431</v>
      </c>
      <c r="I131" s="14" t="s">
        <v>431</v>
      </c>
      <c r="J131" s="14" t="s">
        <v>431</v>
      </c>
      <c r="K131" s="14" t="s">
        <v>431</v>
      </c>
      <c r="L131" s="14" t="s">
        <v>431</v>
      </c>
      <c r="M131" s="14" t="s">
        <v>431</v>
      </c>
    </row>
    <row r="132" spans="2:13" x14ac:dyDescent="0.2">
      <c r="B132" s="13" t="s">
        <v>369</v>
      </c>
      <c r="C132" s="13" t="s">
        <v>470</v>
      </c>
      <c r="D132" s="14" t="s">
        <v>431</v>
      </c>
      <c r="E132" s="16" t="s">
        <v>431</v>
      </c>
      <c r="F132" s="14" t="s">
        <v>431</v>
      </c>
      <c r="G132" s="14" t="s">
        <v>431</v>
      </c>
      <c r="H132" s="14" t="s">
        <v>431</v>
      </c>
      <c r="I132" s="14" t="s">
        <v>431</v>
      </c>
      <c r="J132" s="14" t="s">
        <v>431</v>
      </c>
      <c r="K132" s="14" t="s">
        <v>431</v>
      </c>
      <c r="L132" s="14" t="s">
        <v>431</v>
      </c>
      <c r="M132" s="14" t="s">
        <v>431</v>
      </c>
    </row>
    <row r="133" spans="2:13" x14ac:dyDescent="0.2">
      <c r="B133" s="13" t="s">
        <v>370</v>
      </c>
      <c r="C133" s="13" t="s">
        <v>470</v>
      </c>
      <c r="D133" s="14" t="s">
        <v>431</v>
      </c>
      <c r="E133" s="14" t="s">
        <v>431</v>
      </c>
      <c r="F133" s="14" t="s">
        <v>431</v>
      </c>
      <c r="G133" s="14" t="s">
        <v>431</v>
      </c>
      <c r="H133" s="14" t="s">
        <v>431</v>
      </c>
      <c r="I133" s="14" t="s">
        <v>431</v>
      </c>
      <c r="J133" s="14" t="s">
        <v>431</v>
      </c>
      <c r="K133" s="14" t="s">
        <v>431</v>
      </c>
      <c r="L133" s="14" t="s">
        <v>431</v>
      </c>
      <c r="M133" s="14" t="s">
        <v>431</v>
      </c>
    </row>
    <row r="134" spans="2:13" x14ac:dyDescent="0.2">
      <c r="B134" s="13" t="s">
        <v>371</v>
      </c>
      <c r="C134" s="13" t="s">
        <v>470</v>
      </c>
      <c r="D134" s="14" t="s">
        <v>431</v>
      </c>
      <c r="E134" s="14" t="s">
        <v>431</v>
      </c>
      <c r="F134" s="14" t="s">
        <v>431</v>
      </c>
      <c r="G134" s="14" t="s">
        <v>431</v>
      </c>
      <c r="H134" s="14" t="s">
        <v>431</v>
      </c>
      <c r="I134" s="14" t="s">
        <v>431</v>
      </c>
      <c r="J134" s="14" t="s">
        <v>431</v>
      </c>
      <c r="K134" s="14" t="s">
        <v>431</v>
      </c>
      <c r="L134" s="14" t="s">
        <v>431</v>
      </c>
      <c r="M134" s="14" t="s">
        <v>431</v>
      </c>
    </row>
    <row r="135" spans="2:13" hidden="1" x14ac:dyDescent="0.2">
      <c r="B135" s="13" t="s">
        <v>55</v>
      </c>
      <c r="C135" s="13"/>
      <c r="D135" s="14"/>
      <c r="E135" s="14"/>
      <c r="F135" s="14"/>
      <c r="G135" s="14"/>
      <c r="H135" s="14"/>
      <c r="I135" s="14"/>
      <c r="J135" s="14"/>
      <c r="K135" s="14"/>
      <c r="L135" s="14"/>
      <c r="M135" s="14"/>
    </row>
    <row r="136" spans="2:13" hidden="1" x14ac:dyDescent="0.2">
      <c r="B136" s="13" t="s">
        <v>51</v>
      </c>
      <c r="C136" s="13"/>
      <c r="D136" s="14"/>
      <c r="E136" s="14"/>
      <c r="F136" s="14"/>
      <c r="G136" s="14"/>
      <c r="H136" s="14"/>
      <c r="I136" s="14"/>
      <c r="J136" s="14"/>
      <c r="K136" s="14"/>
      <c r="L136" s="14"/>
      <c r="M136" s="14"/>
    </row>
    <row r="137" spans="2:13" hidden="1" x14ac:dyDescent="0.2">
      <c r="B137" s="13" t="s">
        <v>52</v>
      </c>
      <c r="C137" s="13"/>
      <c r="D137" s="14"/>
      <c r="E137" s="14"/>
      <c r="F137" s="14"/>
      <c r="G137" s="14"/>
      <c r="H137" s="14"/>
      <c r="I137" s="14"/>
      <c r="J137" s="14"/>
      <c r="K137" s="14"/>
      <c r="L137" s="14"/>
      <c r="M137" s="14"/>
    </row>
    <row r="138" spans="2:13" hidden="1" x14ac:dyDescent="0.2">
      <c r="B138" s="13" t="s">
        <v>372</v>
      </c>
      <c r="C138" s="13"/>
      <c r="D138" s="14" t="s">
        <v>17</v>
      </c>
      <c r="E138" s="14" t="s">
        <v>17</v>
      </c>
      <c r="F138" s="14" t="s">
        <v>17</v>
      </c>
      <c r="G138" s="14" t="s">
        <v>17</v>
      </c>
      <c r="H138" s="14" t="s">
        <v>17</v>
      </c>
      <c r="I138" s="14" t="s">
        <v>17</v>
      </c>
      <c r="J138" s="14" t="s">
        <v>17</v>
      </c>
      <c r="K138" s="14" t="s">
        <v>17</v>
      </c>
      <c r="L138" s="14" t="s">
        <v>17</v>
      </c>
      <c r="M138" s="14" t="s">
        <v>17</v>
      </c>
    </row>
    <row r="139" spans="2:13" hidden="1" x14ac:dyDescent="0.2">
      <c r="B139" s="13" t="s">
        <v>373</v>
      </c>
      <c r="C139" s="13"/>
      <c r="D139" s="14" t="s">
        <v>18</v>
      </c>
      <c r="E139" s="14" t="s">
        <v>18</v>
      </c>
      <c r="F139" s="14" t="s">
        <v>18</v>
      </c>
      <c r="G139" s="14" t="s">
        <v>18</v>
      </c>
      <c r="H139" s="14" t="s">
        <v>18</v>
      </c>
      <c r="I139" s="14" t="s">
        <v>18</v>
      </c>
      <c r="J139" s="14" t="s">
        <v>18</v>
      </c>
      <c r="K139" s="14" t="s">
        <v>18</v>
      </c>
      <c r="L139" s="14" t="s">
        <v>18</v>
      </c>
      <c r="M139" s="14" t="s">
        <v>18</v>
      </c>
    </row>
    <row r="140" spans="2:13" hidden="1" x14ac:dyDescent="0.2">
      <c r="B140" s="13" t="s">
        <v>374</v>
      </c>
      <c r="C140" s="13"/>
      <c r="D140" s="14"/>
      <c r="E140" s="14"/>
      <c r="F140" s="14"/>
      <c r="G140" s="14"/>
      <c r="H140" s="14"/>
      <c r="I140" s="14"/>
      <c r="J140" s="14"/>
      <c r="K140" s="14"/>
      <c r="L140" s="14"/>
      <c r="M140" s="14"/>
    </row>
    <row r="141" spans="2:13" hidden="1" x14ac:dyDescent="0.2">
      <c r="B141" s="13" t="s">
        <v>375</v>
      </c>
      <c r="C141" s="13"/>
      <c r="D141" s="14"/>
      <c r="E141" s="14"/>
      <c r="F141" s="14"/>
      <c r="G141" s="14"/>
      <c r="H141" s="14"/>
      <c r="I141" s="14"/>
      <c r="J141" s="14"/>
      <c r="K141" s="14"/>
      <c r="L141" s="14"/>
      <c r="M141" s="14"/>
    </row>
    <row r="142" spans="2:13" hidden="1" x14ac:dyDescent="0.2">
      <c r="B142" s="13" t="s">
        <v>376</v>
      </c>
      <c r="C142" s="13"/>
      <c r="D142" s="14"/>
      <c r="E142" s="14"/>
      <c r="F142" s="14"/>
      <c r="G142" s="14"/>
      <c r="H142" s="14"/>
      <c r="I142" s="14"/>
      <c r="J142" s="14"/>
      <c r="K142" s="14"/>
      <c r="L142" s="14"/>
      <c r="M142" s="14"/>
    </row>
    <row r="143" spans="2:13" hidden="1" x14ac:dyDescent="0.2">
      <c r="B143" s="13" t="s">
        <v>377</v>
      </c>
      <c r="C143" s="13"/>
      <c r="D143" s="14"/>
      <c r="E143" s="14"/>
      <c r="F143" s="14"/>
      <c r="G143" s="14"/>
      <c r="H143" s="14"/>
      <c r="I143" s="14"/>
      <c r="J143" s="14"/>
      <c r="K143" s="14"/>
      <c r="L143" s="14"/>
      <c r="M143" s="14"/>
    </row>
    <row r="144" spans="2:13" hidden="1" x14ac:dyDescent="0.2">
      <c r="B144" s="13" t="s">
        <v>378</v>
      </c>
      <c r="C144" s="13"/>
      <c r="D144" s="14"/>
      <c r="E144" s="14"/>
      <c r="F144" s="14"/>
      <c r="G144" s="14"/>
      <c r="H144" s="14"/>
      <c r="I144" s="14"/>
      <c r="J144" s="14"/>
      <c r="K144" s="14"/>
      <c r="L144" s="14"/>
      <c r="M144" s="14"/>
    </row>
    <row r="145" spans="2:13" hidden="1" x14ac:dyDescent="0.2">
      <c r="B145" s="13" t="s">
        <v>379</v>
      </c>
      <c r="C145" s="13"/>
      <c r="D145" s="14"/>
      <c r="E145" s="14"/>
      <c r="F145" s="14"/>
      <c r="G145" s="14"/>
      <c r="H145" s="14"/>
      <c r="I145" s="14"/>
      <c r="J145" s="14"/>
      <c r="K145" s="14"/>
      <c r="L145" s="14"/>
      <c r="M145" s="14"/>
    </row>
    <row r="146" spans="2:13" hidden="1" x14ac:dyDescent="0.2">
      <c r="B146" s="13" t="s">
        <v>380</v>
      </c>
      <c r="C146" s="13"/>
      <c r="D146" s="14"/>
      <c r="E146" s="14"/>
      <c r="F146" s="14"/>
      <c r="G146" s="14"/>
      <c r="H146" s="14"/>
      <c r="I146" s="14"/>
      <c r="J146" s="14"/>
      <c r="K146" s="14"/>
      <c r="L146" s="14"/>
      <c r="M146" s="14"/>
    </row>
    <row r="147" spans="2:13" hidden="1" x14ac:dyDescent="0.2">
      <c r="B147" s="13" t="s">
        <v>381</v>
      </c>
      <c r="C147" s="13"/>
      <c r="D147" s="14"/>
      <c r="E147" s="14"/>
      <c r="F147" s="14"/>
      <c r="G147" s="14"/>
      <c r="H147" s="14"/>
      <c r="I147" s="14"/>
      <c r="J147" s="14"/>
      <c r="K147" s="14"/>
      <c r="L147" s="14"/>
      <c r="M147" s="14"/>
    </row>
    <row r="148" spans="2:13" hidden="1" x14ac:dyDescent="0.2">
      <c r="B148" s="13" t="s">
        <v>382</v>
      </c>
      <c r="C148" s="13"/>
      <c r="D148" s="14"/>
      <c r="E148" s="14"/>
      <c r="F148" s="14"/>
      <c r="G148" s="14"/>
      <c r="H148" s="14"/>
      <c r="I148" s="14"/>
      <c r="J148" s="14"/>
      <c r="K148" s="14"/>
      <c r="L148" s="14"/>
      <c r="M148" s="14"/>
    </row>
    <row r="149" spans="2:13" hidden="1" x14ac:dyDescent="0.2">
      <c r="B149" s="13" t="s">
        <v>383</v>
      </c>
      <c r="C149" s="13"/>
      <c r="D149" s="14"/>
      <c r="E149" s="14"/>
      <c r="F149" s="14"/>
      <c r="G149" s="14"/>
      <c r="H149" s="14"/>
      <c r="I149" s="14"/>
      <c r="J149" s="14"/>
      <c r="K149" s="14"/>
      <c r="L149" s="14"/>
      <c r="M149" s="14"/>
    </row>
    <row r="150" spans="2:13" hidden="1" x14ac:dyDescent="0.2">
      <c r="B150" s="13" t="s">
        <v>384</v>
      </c>
      <c r="C150" s="13"/>
      <c r="D150" s="14"/>
      <c r="E150" s="14"/>
      <c r="F150" s="14"/>
      <c r="G150" s="14"/>
      <c r="H150" s="14"/>
      <c r="I150" s="14"/>
      <c r="J150" s="14"/>
      <c r="K150" s="14"/>
      <c r="L150" s="14"/>
      <c r="M150" s="14"/>
    </row>
    <row r="151" spans="2:13" hidden="1" x14ac:dyDescent="0.2">
      <c r="B151" s="13" t="s">
        <v>385</v>
      </c>
      <c r="C151" s="13"/>
      <c r="D151" s="14"/>
      <c r="E151" s="14"/>
      <c r="F151" s="14"/>
      <c r="G151" s="14"/>
      <c r="H151" s="14"/>
      <c r="I151" s="14"/>
      <c r="J151" s="14"/>
      <c r="K151" s="14"/>
      <c r="L151" s="14"/>
      <c r="M151" s="14"/>
    </row>
    <row r="152" spans="2:13" x14ac:dyDescent="0.2">
      <c r="B152" s="13" t="s">
        <v>343</v>
      </c>
      <c r="C152" s="13"/>
      <c r="D152" s="14"/>
      <c r="E152" s="14"/>
      <c r="F152" s="14"/>
      <c r="G152" s="14"/>
      <c r="H152" s="14"/>
      <c r="I152" s="14"/>
      <c r="J152" s="14"/>
      <c r="K152" s="14"/>
      <c r="L152" s="14"/>
      <c r="M152" s="14"/>
    </row>
    <row r="153" spans="2:13" hidden="1" x14ac:dyDescent="0.2">
      <c r="B153" s="13" t="s">
        <v>386</v>
      </c>
      <c r="C153" s="13"/>
      <c r="D153" s="14"/>
      <c r="E153" s="14"/>
      <c r="F153" s="14"/>
      <c r="G153" s="14"/>
      <c r="H153" s="14"/>
      <c r="I153" s="14"/>
      <c r="J153" s="14"/>
      <c r="K153" s="14"/>
      <c r="L153" s="14"/>
      <c r="M153" s="14"/>
    </row>
    <row r="154" spans="2:13" hidden="1" x14ac:dyDescent="0.2">
      <c r="B154" s="13" t="s">
        <v>387</v>
      </c>
      <c r="C154" s="13"/>
      <c r="D154" s="14"/>
      <c r="E154" s="14"/>
      <c r="F154" s="14"/>
      <c r="G154" s="14"/>
      <c r="H154" s="14"/>
      <c r="I154" s="14"/>
      <c r="J154" s="14"/>
      <c r="K154" s="14"/>
      <c r="L154" s="14"/>
      <c r="M154" s="14"/>
    </row>
    <row r="155" spans="2:13" hidden="1" x14ac:dyDescent="0.2">
      <c r="B155" s="13" t="s">
        <v>388</v>
      </c>
      <c r="C155" s="13"/>
      <c r="D155" s="14"/>
      <c r="E155" s="14"/>
      <c r="F155" s="14"/>
      <c r="G155" s="14"/>
      <c r="H155" s="14"/>
      <c r="I155" s="14"/>
      <c r="J155" s="14"/>
      <c r="K155" s="14"/>
      <c r="L155" s="14"/>
      <c r="M155" s="14"/>
    </row>
    <row r="156" spans="2:13" hidden="1" x14ac:dyDescent="0.2">
      <c r="B156" s="13" t="s">
        <v>389</v>
      </c>
      <c r="C156" s="13"/>
      <c r="D156" s="14"/>
      <c r="E156" s="14"/>
      <c r="F156" s="14"/>
      <c r="G156" s="14"/>
      <c r="H156" s="14"/>
      <c r="I156" s="14"/>
      <c r="J156" s="14"/>
      <c r="K156" s="14"/>
      <c r="L156" s="14"/>
      <c r="M156" s="14"/>
    </row>
    <row r="157" spans="2:13" hidden="1" x14ac:dyDescent="0.2">
      <c r="B157" s="13" t="s">
        <v>385</v>
      </c>
      <c r="C157" s="13"/>
      <c r="D157" s="14"/>
      <c r="E157" s="14"/>
      <c r="F157" s="14"/>
      <c r="G157" s="14"/>
      <c r="H157" s="14"/>
      <c r="I157" s="14"/>
      <c r="J157" s="14"/>
      <c r="K157" s="14"/>
      <c r="L157" s="14"/>
      <c r="M157" s="14"/>
    </row>
    <row r="158" spans="2:13" x14ac:dyDescent="0.2">
      <c r="B158" s="13" t="s">
        <v>343</v>
      </c>
      <c r="C158" s="13"/>
      <c r="D158" s="14"/>
      <c r="E158" s="14"/>
      <c r="F158" s="14"/>
      <c r="G158" s="14"/>
      <c r="H158" s="14"/>
      <c r="I158" s="14"/>
      <c r="J158" s="14"/>
      <c r="K158" s="14"/>
      <c r="L158" s="14"/>
      <c r="M158" s="14"/>
    </row>
    <row r="159" spans="2:13" hidden="1" x14ac:dyDescent="0.2">
      <c r="B159" s="13" t="s">
        <v>386</v>
      </c>
      <c r="C159" s="13"/>
      <c r="D159" s="14"/>
      <c r="E159" s="14"/>
      <c r="F159" s="14"/>
      <c r="G159" s="14"/>
      <c r="H159" s="14"/>
      <c r="I159" s="14"/>
      <c r="J159" s="14"/>
      <c r="K159" s="14"/>
      <c r="L159" s="14"/>
      <c r="M159" s="14"/>
    </row>
    <row r="160" spans="2:13" hidden="1" x14ac:dyDescent="0.2">
      <c r="B160" s="13" t="s">
        <v>387</v>
      </c>
      <c r="C160" s="13"/>
      <c r="D160" s="14"/>
      <c r="E160" s="14"/>
      <c r="F160" s="14"/>
      <c r="G160" s="14"/>
      <c r="H160" s="14"/>
      <c r="I160" s="14"/>
      <c r="J160" s="14"/>
      <c r="K160" s="14"/>
      <c r="L160" s="14"/>
      <c r="M160" s="14"/>
    </row>
    <row r="161" spans="2:13" hidden="1" x14ac:dyDescent="0.2">
      <c r="B161" s="13" t="s">
        <v>388</v>
      </c>
      <c r="C161" s="13"/>
      <c r="D161" s="14"/>
      <c r="E161" s="14"/>
      <c r="F161" s="14"/>
      <c r="G161" s="14"/>
      <c r="H161" s="14"/>
      <c r="I161" s="14"/>
      <c r="J161" s="14"/>
      <c r="K161" s="14"/>
      <c r="L161" s="14"/>
      <c r="M161" s="14"/>
    </row>
    <row r="162" spans="2:13" hidden="1" x14ac:dyDescent="0.2">
      <c r="B162" s="13" t="s">
        <v>389</v>
      </c>
      <c r="C162" s="13"/>
      <c r="D162" s="14"/>
      <c r="E162" s="14"/>
      <c r="F162" s="14"/>
      <c r="G162" s="14"/>
      <c r="H162" s="14"/>
      <c r="I162" s="14"/>
      <c r="J162" s="14"/>
      <c r="K162" s="14"/>
      <c r="L162" s="14"/>
      <c r="M162" s="14"/>
    </row>
    <row r="163" spans="2:13" hidden="1" x14ac:dyDescent="0.2">
      <c r="B163" s="13" t="s">
        <v>385</v>
      </c>
      <c r="C163" s="13"/>
      <c r="D163" s="14"/>
      <c r="E163" s="14"/>
      <c r="F163" s="14"/>
      <c r="G163" s="14"/>
      <c r="H163" s="14"/>
      <c r="I163" s="14"/>
      <c r="J163" s="14"/>
      <c r="K163" s="14"/>
      <c r="L163" s="14"/>
      <c r="M163" s="14"/>
    </row>
    <row r="164" spans="2:13" x14ac:dyDescent="0.2">
      <c r="B164" s="13" t="s">
        <v>343</v>
      </c>
      <c r="C164" s="13"/>
      <c r="D164" s="14"/>
      <c r="E164" s="14"/>
      <c r="F164" s="14"/>
      <c r="G164" s="14"/>
      <c r="H164" s="14"/>
      <c r="I164" s="14"/>
      <c r="J164" s="14"/>
      <c r="K164" s="14"/>
      <c r="L164" s="14"/>
      <c r="M164" s="14"/>
    </row>
    <row r="165" spans="2:13" hidden="1" x14ac:dyDescent="0.2">
      <c r="B165" s="13" t="s">
        <v>386</v>
      </c>
      <c r="C165" s="13"/>
      <c r="D165" s="14"/>
      <c r="E165" s="14"/>
      <c r="F165" s="14"/>
      <c r="G165" s="14"/>
      <c r="H165" s="14"/>
      <c r="I165" s="14"/>
      <c r="J165" s="14"/>
      <c r="K165" s="14"/>
      <c r="L165" s="14"/>
      <c r="M165" s="14"/>
    </row>
    <row r="166" spans="2:13" hidden="1" x14ac:dyDescent="0.2">
      <c r="B166" s="13" t="s">
        <v>387</v>
      </c>
      <c r="C166" s="13"/>
      <c r="D166" s="14"/>
      <c r="E166" s="14"/>
      <c r="F166" s="14"/>
      <c r="G166" s="14"/>
      <c r="H166" s="14"/>
      <c r="I166" s="14"/>
      <c r="J166" s="14"/>
      <c r="K166" s="14"/>
      <c r="L166" s="14"/>
      <c r="M166" s="14"/>
    </row>
    <row r="167" spans="2:13" hidden="1" x14ac:dyDescent="0.2">
      <c r="B167" s="13" t="s">
        <v>388</v>
      </c>
      <c r="C167" s="13"/>
      <c r="D167" s="14"/>
      <c r="E167" s="14"/>
      <c r="F167" s="14"/>
      <c r="G167" s="14"/>
      <c r="H167" s="14"/>
      <c r="I167" s="14"/>
      <c r="J167" s="14"/>
      <c r="K167" s="14"/>
      <c r="L167" s="14"/>
      <c r="M167" s="14"/>
    </row>
    <row r="168" spans="2:13" hidden="1" x14ac:dyDescent="0.2">
      <c r="B168" s="13" t="s">
        <v>389</v>
      </c>
      <c r="C168" s="13"/>
      <c r="D168" s="14"/>
      <c r="E168" s="14"/>
      <c r="F168" s="14"/>
      <c r="G168" s="14"/>
      <c r="H168" s="14"/>
      <c r="I168" s="14"/>
      <c r="J168" s="14"/>
      <c r="K168" s="14"/>
      <c r="L168" s="14"/>
      <c r="M168" s="14"/>
    </row>
    <row r="169" spans="2:13" hidden="1" x14ac:dyDescent="0.2">
      <c r="B169" s="13" t="s">
        <v>385</v>
      </c>
      <c r="C169" s="13"/>
      <c r="D169" s="14"/>
      <c r="E169" s="14"/>
      <c r="F169" s="14"/>
      <c r="G169" s="14"/>
      <c r="H169" s="14"/>
      <c r="I169" s="14"/>
      <c r="J169" s="14"/>
      <c r="K169" s="14"/>
      <c r="L169" s="14"/>
      <c r="M169" s="14"/>
    </row>
    <row r="170" spans="2:13" x14ac:dyDescent="0.2">
      <c r="B170" s="13" t="s">
        <v>343</v>
      </c>
      <c r="C170" s="13"/>
      <c r="D170" s="14"/>
      <c r="E170" s="14"/>
      <c r="F170" s="14"/>
      <c r="G170" s="14"/>
      <c r="H170" s="14"/>
      <c r="I170" s="14"/>
      <c r="J170" s="14"/>
      <c r="K170" s="14"/>
      <c r="L170" s="14"/>
      <c r="M170" s="14"/>
    </row>
    <row r="171" spans="2:13" hidden="1" x14ac:dyDescent="0.2">
      <c r="B171" s="13" t="s">
        <v>386</v>
      </c>
      <c r="C171" s="13"/>
      <c r="D171" s="14"/>
      <c r="E171" s="14"/>
      <c r="F171" s="14"/>
      <c r="G171" s="14"/>
      <c r="H171" s="14"/>
      <c r="I171" s="14"/>
      <c r="J171" s="14"/>
      <c r="K171" s="14"/>
      <c r="L171" s="14"/>
      <c r="M171" s="14"/>
    </row>
    <row r="172" spans="2:13" hidden="1" x14ac:dyDescent="0.2">
      <c r="B172" s="13" t="s">
        <v>387</v>
      </c>
      <c r="C172" s="13"/>
      <c r="D172" s="14"/>
      <c r="E172" s="14"/>
      <c r="F172" s="14"/>
      <c r="G172" s="14"/>
      <c r="H172" s="14"/>
      <c r="I172" s="14"/>
      <c r="J172" s="14"/>
      <c r="K172" s="14"/>
      <c r="L172" s="14"/>
      <c r="M172" s="14"/>
    </row>
    <row r="173" spans="2:13" hidden="1" x14ac:dyDescent="0.2">
      <c r="B173" s="13" t="s">
        <v>388</v>
      </c>
      <c r="C173" s="13"/>
      <c r="D173" s="14"/>
      <c r="E173" s="14"/>
      <c r="F173" s="14"/>
      <c r="G173" s="14"/>
      <c r="H173" s="14"/>
      <c r="I173" s="14"/>
      <c r="J173" s="14"/>
      <c r="K173" s="14"/>
      <c r="L173" s="14"/>
      <c r="M173" s="14"/>
    </row>
    <row r="174" spans="2:13" hidden="1" x14ac:dyDescent="0.2">
      <c r="B174" s="13" t="s">
        <v>389</v>
      </c>
      <c r="C174" s="13"/>
      <c r="D174" s="14"/>
      <c r="E174" s="14"/>
      <c r="F174" s="14"/>
      <c r="G174" s="14"/>
      <c r="H174" s="14"/>
      <c r="I174" s="14"/>
      <c r="J174" s="14"/>
      <c r="K174" s="14"/>
      <c r="L174" s="14"/>
      <c r="M174" s="14"/>
    </row>
    <row r="175" spans="2:13" x14ac:dyDescent="0.2">
      <c r="B175" s="13" t="s">
        <v>402</v>
      </c>
      <c r="C175" s="13" t="s">
        <v>390</v>
      </c>
      <c r="D175" s="14" t="s">
        <v>405</v>
      </c>
      <c r="E175" s="14" t="s">
        <v>408</v>
      </c>
      <c r="F175" s="14" t="s">
        <v>405</v>
      </c>
      <c r="G175" s="14" t="s">
        <v>405</v>
      </c>
      <c r="H175" s="14" t="s">
        <v>405</v>
      </c>
      <c r="I175" s="14" t="s">
        <v>405</v>
      </c>
      <c r="J175" s="14" t="s">
        <v>405</v>
      </c>
      <c r="K175" s="14" t="s">
        <v>405</v>
      </c>
      <c r="L175" s="14" t="s">
        <v>405</v>
      </c>
      <c r="M175" s="14" t="s">
        <v>405</v>
      </c>
    </row>
    <row r="176" spans="2:13" x14ac:dyDescent="0.2">
      <c r="B176" s="13" t="s">
        <v>403</v>
      </c>
      <c r="C176" s="13" t="s">
        <v>390</v>
      </c>
      <c r="D176" s="14" t="s">
        <v>25</v>
      </c>
      <c r="E176" s="14" t="s">
        <v>33</v>
      </c>
      <c r="F176" s="14" t="s">
        <v>27</v>
      </c>
      <c r="G176" s="14" t="s">
        <v>26</v>
      </c>
      <c r="H176" s="14" t="s">
        <v>30</v>
      </c>
      <c r="I176" s="14" t="s">
        <v>28</v>
      </c>
      <c r="J176" s="14" t="s">
        <v>31</v>
      </c>
      <c r="K176" s="14" t="s">
        <v>29</v>
      </c>
      <c r="L176" s="14" t="s">
        <v>29</v>
      </c>
      <c r="M176" s="14" t="s">
        <v>29</v>
      </c>
    </row>
    <row r="177" spans="2:13" x14ac:dyDescent="0.2">
      <c r="B177" s="13" t="s">
        <v>661</v>
      </c>
      <c r="C177" s="13" t="s">
        <v>390</v>
      </c>
      <c r="D177" s="14" t="s">
        <v>405</v>
      </c>
      <c r="E177" s="14" t="s">
        <v>405</v>
      </c>
      <c r="F177" s="14" t="s">
        <v>405</v>
      </c>
      <c r="G177" s="14" t="s">
        <v>405</v>
      </c>
      <c r="H177" s="14" t="s">
        <v>405</v>
      </c>
      <c r="I177" s="14" t="s">
        <v>405</v>
      </c>
      <c r="J177" s="14" t="s">
        <v>405</v>
      </c>
      <c r="K177" s="14" t="s">
        <v>405</v>
      </c>
      <c r="L177" s="14" t="s">
        <v>405</v>
      </c>
      <c r="M177" s="14" t="s">
        <v>405</v>
      </c>
    </row>
    <row r="178" spans="2:13" x14ac:dyDescent="0.2">
      <c r="B178" s="13" t="s">
        <v>662</v>
      </c>
      <c r="C178" s="13" t="s">
        <v>467</v>
      </c>
      <c r="D178" s="14">
        <v>3</v>
      </c>
      <c r="E178" s="14">
        <v>2</v>
      </c>
      <c r="F178" s="14">
        <v>2</v>
      </c>
      <c r="G178" s="14">
        <v>2</v>
      </c>
      <c r="H178" s="14">
        <v>2</v>
      </c>
      <c r="I178" s="14">
        <v>2</v>
      </c>
      <c r="J178" s="14">
        <v>2</v>
      </c>
      <c r="K178" s="14">
        <v>2</v>
      </c>
      <c r="L178" s="14">
        <v>2</v>
      </c>
      <c r="M178" s="14">
        <v>2</v>
      </c>
    </row>
    <row r="179" spans="2:13" x14ac:dyDescent="0.2"/>
    <row r="180" spans="2:13" x14ac:dyDescent="0.2"/>
    <row r="181" spans="2:13" x14ac:dyDescent="0.2"/>
    <row r="182" spans="2:13" x14ac:dyDescent="0.2"/>
    <row r="183" spans="2:13" x14ac:dyDescent="0.2"/>
    <row r="184" spans="2:13" x14ac:dyDescent="0.2"/>
    <row r="185" spans="2:13" x14ac:dyDescent="0.2"/>
    <row r="186" spans="2:13" x14ac:dyDescent="0.2"/>
    <row r="187" spans="2:13" x14ac:dyDescent="0.2"/>
    <row r="188" spans="2:13" x14ac:dyDescent="0.2"/>
  </sheetData>
  <mergeCells count="10">
    <mergeCell ref="H13:I13"/>
    <mergeCell ref="C11:E11"/>
    <mergeCell ref="C19:E19"/>
    <mergeCell ref="C12:E12"/>
    <mergeCell ref="C14:E14"/>
    <mergeCell ref="C15:E15"/>
    <mergeCell ref="C18:E18"/>
    <mergeCell ref="C16:E16"/>
    <mergeCell ref="C17:E17"/>
    <mergeCell ref="C13:E13"/>
  </mergeCells>
  <phoneticPr fontId="2" type="noConversion"/>
  <dataValidations count="12">
    <dataValidation type="list" allowBlank="1" showInputMessage="1" showErrorMessage="1" sqref="C18:E18">
      <formula1>Valid_ModelType</formula1>
    </dataValidation>
    <dataValidation type="list" allowBlank="1" showInputMessage="1" showErrorMessage="1" sqref="C11:E11">
      <formula1>Valid_BMDSversion</formula1>
    </dataValidation>
    <dataValidation type="list" allowBlank="1" showInputMessage="1" showErrorMessage="1" sqref="C17">
      <formula1>"BMD,BMC"</formula1>
    </dataValidation>
    <dataValidation type="list" allowBlank="1" showInputMessage="1" showErrorMessage="1" sqref="D53:M53">
      <formula1>Valid_Distribution</formula1>
    </dataValidation>
    <dataValidation type="list" allowBlank="1" showInputMessage="1" showErrorMessage="1" sqref="D57:M57">
      <formula1>Valid_RiskType</formula1>
    </dataValidation>
    <dataValidation type="list" allowBlank="1" showInputMessage="1" showErrorMessage="1" sqref="D72:M72">
      <formula1>Valid_Restriction</formula1>
    </dataValidation>
    <dataValidation type="list" allowBlank="1" showInputMessage="1" showErrorMessage="1" sqref="D73:M73">
      <formula1>Valid_AdvDir</formula1>
    </dataValidation>
    <dataValidation type="list" allowBlank="1" showInputMessage="1" showErrorMessage="1" sqref="D74:M74">
      <formula1>Valid_BMRtype</formula1>
    </dataValidation>
    <dataValidation type="list" allowBlank="1" showInputMessage="1" showErrorMessage="1" sqref="D76:M76">
      <formula1>Valid_FixedLitterSize</formula1>
    </dataValidation>
    <dataValidation type="list" allowBlank="1" showInputMessage="1" showErrorMessage="1" sqref="D77:M77">
      <formula1>Valid_LitterSpecCovar</formula1>
    </dataValidation>
    <dataValidation type="list" allowBlank="1" showInputMessage="1" showErrorMessage="1" sqref="D78:M78">
      <formula1>Valid_IntralitterCorrel</formula1>
    </dataValidation>
    <dataValidation type="list" allowBlank="1" showInputMessage="1" showErrorMessage="1" sqref="D60:M61 D66:M68 D94:M98 D75:M75 D64:M64">
      <formula1>Valid_Boolean</formula1>
    </dataValidation>
  </dataValidations>
  <hyperlinks>
    <hyperlink ref="C19:E19" location="Data!A6" tooltip="Moves user to the &quot;Data&quot; worksheet" display="Click here to enter data"/>
  </hyperlinks>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SetupInstructions">
                <anchor moveWithCells="1" sizeWithCells="1">
                  <from>
                    <xdr:col>1</xdr:col>
                    <xdr:colOff>142875</xdr:colOff>
                    <xdr:row>7</xdr:row>
                    <xdr:rowOff>85725</xdr:rowOff>
                  </from>
                  <to>
                    <xdr:col>1</xdr:col>
                    <xdr:colOff>1257300</xdr:colOff>
                    <xdr:row>7</xdr:row>
                    <xdr:rowOff>638175</xdr:rowOff>
                  </to>
                </anchor>
              </controlPr>
            </control>
          </mc:Choice>
        </mc:AlternateContent>
        <mc:AlternateContent xmlns:mc="http://schemas.openxmlformats.org/markup-compatibility/2006">
          <mc:Choice Requires="x14">
            <control shapeId="2054" r:id="rId5" name="Button 6">
              <controlPr defaultSize="0" print="0" autoFill="0" autoPict="0" macro="[0]!Add_Model">
                <anchor moveWithCells="1" sizeWithCells="1">
                  <from>
                    <xdr:col>3</xdr:col>
                    <xdr:colOff>114300</xdr:colOff>
                    <xdr:row>21</xdr:row>
                    <xdr:rowOff>104775</xdr:rowOff>
                  </from>
                  <to>
                    <xdr:col>3</xdr:col>
                    <xdr:colOff>1133475</xdr:colOff>
                    <xdr:row>26</xdr:row>
                    <xdr:rowOff>123825</xdr:rowOff>
                  </to>
                </anchor>
              </controlPr>
            </control>
          </mc:Choice>
        </mc:AlternateContent>
        <mc:AlternateContent xmlns:mc="http://schemas.openxmlformats.org/markup-compatibility/2006">
          <mc:Choice Requires="x14">
            <control shapeId="2101" r:id="rId6" name="Button 53">
              <controlPr defaultSize="0" print="0" autoFill="0" autoPict="0" macro="[0]!ClearAllModels">
                <anchor moveWithCells="1" sizeWithCells="1">
                  <from>
                    <xdr:col>3</xdr:col>
                    <xdr:colOff>114300</xdr:colOff>
                    <xdr:row>27</xdr:row>
                    <xdr:rowOff>123825</xdr:rowOff>
                  </from>
                  <to>
                    <xdr:col>3</xdr:col>
                    <xdr:colOff>1133475</xdr:colOff>
                    <xdr:row>33</xdr:row>
                    <xdr:rowOff>19050</xdr:rowOff>
                  </to>
                </anchor>
              </controlPr>
            </control>
          </mc:Choice>
        </mc:AlternateContent>
        <mc:AlternateContent xmlns:mc="http://schemas.openxmlformats.org/markup-compatibility/2006">
          <mc:Choice Requires="x14">
            <control shapeId="2135" r:id="rId7" name="Button 87">
              <controlPr defaultSize="0" print="0" autoFill="0" autoPict="0" macro="[0]!Btn_BuildSession">
                <anchor moveWithCells="1" sizeWithCells="1">
                  <from>
                    <xdr:col>1</xdr:col>
                    <xdr:colOff>1428750</xdr:colOff>
                    <xdr:row>7</xdr:row>
                    <xdr:rowOff>85725</xdr:rowOff>
                  </from>
                  <to>
                    <xdr:col>2</xdr:col>
                    <xdr:colOff>533400</xdr:colOff>
                    <xdr:row>7</xdr:row>
                    <xdr:rowOff>638175</xdr:rowOff>
                  </to>
                </anchor>
              </controlPr>
            </control>
          </mc:Choice>
        </mc:AlternateContent>
        <mc:AlternateContent xmlns:mc="http://schemas.openxmlformats.org/markup-compatibility/2006">
          <mc:Choice Requires="x14">
            <control shapeId="2136" r:id="rId8" name="Button 88">
              <controlPr defaultSize="0" print="0" autoFill="0" autoPict="0" macro="[0]!ImportBMDSResults">
                <anchor moveWithCells="1" sizeWithCells="1">
                  <from>
                    <xdr:col>3</xdr:col>
                    <xdr:colOff>1238250</xdr:colOff>
                    <xdr:row>7</xdr:row>
                    <xdr:rowOff>85725</xdr:rowOff>
                  </from>
                  <to>
                    <xdr:col>4</xdr:col>
                    <xdr:colOff>1095375</xdr:colOff>
                    <xdr:row>7</xdr:row>
                    <xdr:rowOff>638175</xdr:rowOff>
                  </to>
                </anchor>
              </controlPr>
            </control>
          </mc:Choice>
        </mc:AlternateContent>
        <mc:AlternateContent xmlns:mc="http://schemas.openxmlformats.org/markup-compatibility/2006">
          <mc:Choice Requires="x14">
            <control shapeId="2137" r:id="rId9" name="Button 89">
              <controlPr defaultSize="0" print="0" autoFill="0" autoPict="0" macro="[0]!Btn_RunBMDS">
                <anchor moveWithCells="1" sizeWithCells="1">
                  <from>
                    <xdr:col>2</xdr:col>
                    <xdr:colOff>676275</xdr:colOff>
                    <xdr:row>7</xdr:row>
                    <xdr:rowOff>85725</xdr:rowOff>
                  </from>
                  <to>
                    <xdr:col>3</xdr:col>
                    <xdr:colOff>1076325</xdr:colOff>
                    <xdr:row>7</xdr:row>
                    <xdr:rowOff>628650</xdr:rowOff>
                  </to>
                </anchor>
              </controlPr>
            </control>
          </mc:Choice>
        </mc:AlternateContent>
        <mc:AlternateContent xmlns:mc="http://schemas.openxmlformats.org/markup-compatibility/2006">
          <mc:Choice Requires="x14">
            <control shapeId="2156" r:id="rId10" name="Button 108">
              <controlPr defaultSize="0" print="0" autoFill="0" autoPict="0" macro="[0]!AUTORUN">
                <anchor moveWithCells="1" sizeWithCells="1">
                  <from>
                    <xdr:col>5</xdr:col>
                    <xdr:colOff>57150</xdr:colOff>
                    <xdr:row>7</xdr:row>
                    <xdr:rowOff>85725</xdr:rowOff>
                  </from>
                  <to>
                    <xdr:col>5</xdr:col>
                    <xdr:colOff>1162050</xdr:colOff>
                    <xdr:row>7</xdr:row>
                    <xdr:rowOff>638175</xdr:rowOff>
                  </to>
                </anchor>
              </controlPr>
            </control>
          </mc:Choice>
        </mc:AlternateContent>
        <mc:AlternateContent xmlns:mc="http://schemas.openxmlformats.org/markup-compatibility/2006">
          <mc:Choice Requires="x14">
            <control shapeId="2161" r:id="rId11" name="List Box 113">
              <controlPr defaultSize="0" autoLine="0" autoPict="0">
                <anchor moveWithCells="1">
                  <from>
                    <xdr:col>1</xdr:col>
                    <xdr:colOff>66675</xdr:colOff>
                    <xdr:row>21</xdr:row>
                    <xdr:rowOff>47625</xdr:rowOff>
                  </from>
                  <to>
                    <xdr:col>2</xdr:col>
                    <xdr:colOff>609600</xdr:colOff>
                    <xdr:row>33</xdr:row>
                    <xdr:rowOff>114300</xdr:rowOff>
                  </to>
                </anchor>
              </controlPr>
            </control>
          </mc:Choice>
        </mc:AlternateContent>
        <mc:AlternateContent xmlns:mc="http://schemas.openxmlformats.org/markup-compatibility/2006">
          <mc:Choice Requires="x14">
            <control shapeId="2164" r:id="rId12" name="Button 116">
              <controlPr defaultSize="0" print="0" autoFill="0" autoPict="0" macro="[0]!BuildSelectoutputDir">
                <anchor moveWithCells="1" sizeWithCells="1">
                  <from>
                    <xdr:col>5</xdr:col>
                    <xdr:colOff>152400</xdr:colOff>
                    <xdr:row>11</xdr:row>
                    <xdr:rowOff>66675</xdr:rowOff>
                  </from>
                  <to>
                    <xdr:col>5</xdr:col>
                    <xdr:colOff>1114425</xdr:colOff>
                    <xdr:row>11</xdr:row>
                    <xdr:rowOff>276225</xdr:rowOff>
                  </to>
                </anchor>
              </controlPr>
            </control>
          </mc:Choice>
        </mc:AlternateContent>
        <mc:AlternateContent xmlns:mc="http://schemas.openxmlformats.org/markup-compatibility/2006">
          <mc:Choice Requires="x14">
            <control shapeId="2168" r:id="rId13" name="Button 120">
              <controlPr defaultSize="0" print="0" autoFill="0" autoPict="0" macro="[0]!exportXML_auto">
                <anchor moveWithCells="1" sizeWithCells="1">
                  <from>
                    <xdr:col>6</xdr:col>
                    <xdr:colOff>152400</xdr:colOff>
                    <xdr:row>7</xdr:row>
                    <xdr:rowOff>66675</xdr:rowOff>
                  </from>
                  <to>
                    <xdr:col>6</xdr:col>
                    <xdr:colOff>1114425</xdr:colOff>
                    <xdr:row>7</xdr:row>
                    <xdr:rowOff>647700</xdr:rowOff>
                  </to>
                </anchor>
              </controlPr>
            </control>
          </mc:Choice>
        </mc:AlternateContent>
        <mc:AlternateContent xmlns:mc="http://schemas.openxmlformats.org/markup-compatibility/2006">
          <mc:Choice Requires="x14">
            <control shapeId="2173" r:id="rId14" name="Button 125">
              <controlPr defaultSize="0" print="0" autoFill="0" autoPict="0" macro="[0]!CTV_LoadDR_id">
                <anchor moveWithCells="1" sizeWithCells="1">
                  <from>
                    <xdr:col>7</xdr:col>
                    <xdr:colOff>152400</xdr:colOff>
                    <xdr:row>12</xdr:row>
                    <xdr:rowOff>47625</xdr:rowOff>
                  </from>
                  <to>
                    <xdr:col>8</xdr:col>
                    <xdr:colOff>1133475</xdr:colOff>
                    <xdr:row>12</xdr:row>
                    <xdr:rowOff>304800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enableFormatConditionsCalculation="0">
    <tabColor indexed="42"/>
  </sheetPr>
  <dimension ref="A1:L239"/>
  <sheetViews>
    <sheetView zoomScaleNormal="100" workbookViewId="0">
      <pane ySplit="5" topLeftCell="A6" activePane="bottomLeft" state="frozen"/>
      <selection pane="bottomLeft" activeCell="F21" sqref="F21"/>
    </sheetView>
  </sheetViews>
  <sheetFormatPr defaultColWidth="0" defaultRowHeight="12.75" zeroHeight="1" x14ac:dyDescent="0.2"/>
  <cols>
    <col min="1" max="1" width="4.28515625" style="6" customWidth="1"/>
    <col min="2" max="2" width="16.42578125" style="6" customWidth="1"/>
    <col min="3" max="3" width="23.5703125" style="6" customWidth="1"/>
    <col min="4" max="7" width="21.140625" style="6" customWidth="1"/>
    <col min="8" max="9" width="9.140625" style="6" customWidth="1"/>
    <col min="10" max="10" width="9.140625" style="6" hidden="1" customWidth="1"/>
    <col min="11" max="11" width="18.85546875" style="6" hidden="1" customWidth="1"/>
    <col min="12" max="16384" width="9.140625" style="6" hidden="1"/>
  </cols>
  <sheetData>
    <row r="1" spans="2:12" s="1" customFormat="1" ht="11.25" customHeight="1" thickBot="1" x14ac:dyDescent="0.25"/>
    <row r="2" spans="2:12" s="1" customFormat="1" ht="18" customHeight="1" x14ac:dyDescent="0.25">
      <c r="B2" s="10" t="s">
        <v>562</v>
      </c>
      <c r="G2" s="50"/>
    </row>
    <row r="3" spans="2:12" s="1" customFormat="1" ht="11.25" customHeight="1" x14ac:dyDescent="0.2">
      <c r="G3" s="51"/>
    </row>
    <row r="4" spans="2:12" s="1" customFormat="1" ht="12.75" customHeight="1" thickBot="1" x14ac:dyDescent="0.25">
      <c r="B4" s="1" t="s">
        <v>544</v>
      </c>
      <c r="G4" s="52"/>
    </row>
    <row r="5" spans="2:12" s="11" customFormat="1" ht="11.25" customHeight="1" thickBot="1" x14ac:dyDescent="0.25"/>
    <row r="6" spans="2:12" ht="13.5" thickTop="1" x14ac:dyDescent="0.2">
      <c r="B6" s="24" t="s">
        <v>472</v>
      </c>
    </row>
    <row r="7" spans="2:12" x14ac:dyDescent="0.2"/>
    <row r="8" spans="2:12" x14ac:dyDescent="0.2">
      <c r="B8" s="12" t="s">
        <v>745</v>
      </c>
      <c r="K8" s="12" t="s">
        <v>628</v>
      </c>
    </row>
    <row r="9" spans="2:12" ht="29.25" customHeight="1" x14ac:dyDescent="0.2">
      <c r="B9" s="8" t="s">
        <v>747</v>
      </c>
      <c r="C9" s="28">
        <f>IF(COUNTA(INDEX(Tbl_Doses,,MATCH("Dose",Data_DataType,FALSE)))-1=0,0,COUNTA(INDEX(Tbl_Doses,,MATCH("Dose",Data_DataType,FALSE)))-1)</f>
        <v>4</v>
      </c>
      <c r="D9" s="29"/>
      <c r="E9" s="29"/>
      <c r="F9" s="29"/>
      <c r="G9" s="30"/>
      <c r="K9" s="8" t="s">
        <v>37</v>
      </c>
      <c r="L9" s="7" t="str">
        <f>CHAR(64+COLUMN(INDEX(Data_DataType,MATCH("Dose",Data_DataType,FALSE))))</f>
        <v>C</v>
      </c>
    </row>
    <row r="10" spans="2:12" ht="29.25" customHeight="1" x14ac:dyDescent="0.2">
      <c r="B10" s="8" t="s">
        <v>746</v>
      </c>
      <c r="C10" s="28" t="str">
        <f ca="1">IF(Data_ResponseInc=Data_ResponseDec,"-",IF(Data_ResponseInc&gt;Data_ResponseDec,"increasing","decreasing"))</f>
        <v>-</v>
      </c>
      <c r="D10" s="29"/>
      <c r="E10" s="29"/>
      <c r="F10" s="29"/>
      <c r="G10" s="30"/>
      <c r="K10" s="8" t="s">
        <v>41</v>
      </c>
      <c r="L10" s="7" t="e">
        <f>CHAR(64+COLUMN(INDEX(Data_DataType,MATCH("Response",Data_DataType,FALSE))))</f>
        <v>#N/A</v>
      </c>
    </row>
    <row r="11" spans="2:12" ht="29.25" customHeight="1" x14ac:dyDescent="0.2">
      <c r="B11" s="8" t="s">
        <v>744</v>
      </c>
      <c r="C11" s="107" t="s">
        <v>606</v>
      </c>
      <c r="D11" s="108"/>
      <c r="E11" s="108"/>
      <c r="F11" s="108"/>
      <c r="G11" s="109"/>
      <c r="K11" s="8" t="s">
        <v>630</v>
      </c>
      <c r="L11" s="7">
        <f ca="1">COUNTIF($K$17:$K$41,"=increasing")</f>
        <v>0</v>
      </c>
    </row>
    <row r="12" spans="2:12" x14ac:dyDescent="0.2">
      <c r="K12" s="8" t="s">
        <v>631</v>
      </c>
      <c r="L12" s="7">
        <f ca="1">COUNTIF($K$17:$K$41,"=decreasing")</f>
        <v>0</v>
      </c>
    </row>
    <row r="13" spans="2:12" x14ac:dyDescent="0.2"/>
    <row r="14" spans="2:12" x14ac:dyDescent="0.2">
      <c r="B14" s="12" t="s">
        <v>610</v>
      </c>
    </row>
    <row r="15" spans="2:12" ht="25.5" x14ac:dyDescent="0.2">
      <c r="B15" s="8" t="s">
        <v>683</v>
      </c>
      <c r="C15" s="31" t="s">
        <v>37</v>
      </c>
      <c r="D15" s="31" t="s">
        <v>607</v>
      </c>
      <c r="E15" s="31" t="s">
        <v>53</v>
      </c>
      <c r="F15" s="31"/>
      <c r="G15" s="31"/>
    </row>
    <row r="16" spans="2:12" ht="25.5" x14ac:dyDescent="0.2">
      <c r="B16" s="8" t="s">
        <v>682</v>
      </c>
      <c r="C16" s="32" t="s">
        <v>37</v>
      </c>
      <c r="D16" s="32" t="s">
        <v>607</v>
      </c>
      <c r="E16" s="32" t="s">
        <v>53</v>
      </c>
      <c r="F16" s="32"/>
      <c r="G16" s="32"/>
      <c r="K16" s="9" t="s">
        <v>627</v>
      </c>
    </row>
    <row r="17" spans="2:11" x14ac:dyDescent="0.2">
      <c r="B17" s="8" t="s">
        <v>719</v>
      </c>
      <c r="C17" s="4">
        <v>0</v>
      </c>
      <c r="D17" s="4">
        <v>20</v>
      </c>
      <c r="E17" s="4">
        <v>1</v>
      </c>
      <c r="F17" s="4"/>
      <c r="G17" s="4"/>
      <c r="K17" s="7" t="s">
        <v>629</v>
      </c>
    </row>
    <row r="18" spans="2:11" x14ac:dyDescent="0.2">
      <c r="B18" s="8" t="s">
        <v>720</v>
      </c>
      <c r="C18" s="4">
        <v>50</v>
      </c>
      <c r="D18" s="4">
        <v>20</v>
      </c>
      <c r="E18" s="4">
        <v>3</v>
      </c>
      <c r="F18" s="4"/>
      <c r="G18" s="4"/>
      <c r="K18" s="7" t="e">
        <f t="shared" ref="K18:K41" ca="1" si="0">IF(OR(INDIRECT(Data_ResponseColumn&amp;ROW())=INDIRECT(Data_ResponseColumn&amp;ROW()-1),ISBLANK(INDIRECT(Data_ResponseColumn&amp;ROW()))),"-",IF(INDIRECT(Data_ResponseColumn&amp;ROW())&gt;INDIRECT(Data_ResponseColumn&amp;ROW()-1),"increasing","decreasing"))</f>
        <v>#N/A</v>
      </c>
    </row>
    <row r="19" spans="2:11" x14ac:dyDescent="0.2">
      <c r="B19" s="8" t="s">
        <v>721</v>
      </c>
      <c r="C19" s="4">
        <v>150</v>
      </c>
      <c r="D19" s="4">
        <v>20</v>
      </c>
      <c r="E19" s="4">
        <v>5</v>
      </c>
      <c r="F19" s="4"/>
      <c r="G19" s="4"/>
      <c r="K19" s="7" t="e">
        <f t="shared" ca="1" si="0"/>
        <v>#N/A</v>
      </c>
    </row>
    <row r="20" spans="2:11" x14ac:dyDescent="0.2">
      <c r="B20" s="8" t="s">
        <v>722</v>
      </c>
      <c r="C20" s="4">
        <v>350</v>
      </c>
      <c r="D20" s="4">
        <v>20</v>
      </c>
      <c r="E20" s="4">
        <v>7</v>
      </c>
      <c r="F20" s="4"/>
      <c r="G20" s="4"/>
      <c r="K20" s="7" t="e">
        <f t="shared" ca="1" si="0"/>
        <v>#N/A</v>
      </c>
    </row>
    <row r="21" spans="2:11" x14ac:dyDescent="0.2">
      <c r="B21" s="8" t="s">
        <v>723</v>
      </c>
      <c r="C21" s="4"/>
      <c r="D21" s="4"/>
      <c r="E21" s="4"/>
      <c r="F21" s="4"/>
      <c r="G21" s="4"/>
      <c r="K21" s="7" t="e">
        <f t="shared" ca="1" si="0"/>
        <v>#N/A</v>
      </c>
    </row>
    <row r="22" spans="2:11" x14ac:dyDescent="0.2">
      <c r="B22" s="8" t="s">
        <v>724</v>
      </c>
      <c r="C22" s="4"/>
      <c r="D22" s="4"/>
      <c r="E22" s="4"/>
      <c r="F22" s="4"/>
      <c r="G22" s="4"/>
      <c r="K22" s="7" t="e">
        <f t="shared" ca="1" si="0"/>
        <v>#N/A</v>
      </c>
    </row>
    <row r="23" spans="2:11" x14ac:dyDescent="0.2">
      <c r="B23" s="8" t="s">
        <v>725</v>
      </c>
      <c r="C23" s="4"/>
      <c r="D23" s="4"/>
      <c r="E23" s="4"/>
      <c r="F23" s="4"/>
      <c r="G23" s="4"/>
      <c r="K23" s="7" t="e">
        <f t="shared" ca="1" si="0"/>
        <v>#N/A</v>
      </c>
    </row>
    <row r="24" spans="2:11" x14ac:dyDescent="0.2">
      <c r="B24" s="8" t="s">
        <v>726</v>
      </c>
      <c r="C24" s="4"/>
      <c r="D24" s="4"/>
      <c r="E24" s="4"/>
      <c r="F24" s="4"/>
      <c r="G24" s="4"/>
      <c r="K24" s="7" t="e">
        <f t="shared" ca="1" si="0"/>
        <v>#N/A</v>
      </c>
    </row>
    <row r="25" spans="2:11" x14ac:dyDescent="0.2">
      <c r="B25" s="8" t="s">
        <v>727</v>
      </c>
      <c r="C25" s="4"/>
      <c r="D25" s="4"/>
      <c r="E25" s="4"/>
      <c r="F25" s="4"/>
      <c r="G25" s="4"/>
      <c r="K25" s="7" t="e">
        <f t="shared" ca="1" si="0"/>
        <v>#N/A</v>
      </c>
    </row>
    <row r="26" spans="2:11" x14ac:dyDescent="0.2">
      <c r="B26" s="8" t="s">
        <v>728</v>
      </c>
      <c r="C26" s="4"/>
      <c r="D26" s="4"/>
      <c r="E26" s="4"/>
      <c r="F26" s="4"/>
      <c r="G26" s="4"/>
      <c r="K26" s="7" t="e">
        <f t="shared" ca="1" si="0"/>
        <v>#N/A</v>
      </c>
    </row>
    <row r="27" spans="2:11" x14ac:dyDescent="0.2">
      <c r="B27" s="8" t="s">
        <v>729</v>
      </c>
      <c r="C27" s="4"/>
      <c r="D27" s="4"/>
      <c r="E27" s="4"/>
      <c r="F27" s="4"/>
      <c r="G27" s="4"/>
      <c r="K27" s="7" t="e">
        <f t="shared" ca="1" si="0"/>
        <v>#N/A</v>
      </c>
    </row>
    <row r="28" spans="2:11" x14ac:dyDescent="0.2">
      <c r="B28" s="8" t="s">
        <v>730</v>
      </c>
      <c r="C28" s="4"/>
      <c r="D28" s="4"/>
      <c r="E28" s="4"/>
      <c r="F28" s="4"/>
      <c r="G28" s="4"/>
      <c r="K28" s="7" t="e">
        <f t="shared" ca="1" si="0"/>
        <v>#N/A</v>
      </c>
    </row>
    <row r="29" spans="2:11" x14ac:dyDescent="0.2">
      <c r="B29" s="8" t="s">
        <v>731</v>
      </c>
      <c r="C29" s="4"/>
      <c r="D29" s="4"/>
      <c r="E29" s="4"/>
      <c r="F29" s="4"/>
      <c r="G29" s="4"/>
      <c r="K29" s="7" t="e">
        <f t="shared" ca="1" si="0"/>
        <v>#N/A</v>
      </c>
    </row>
    <row r="30" spans="2:11" x14ac:dyDescent="0.2">
      <c r="B30" s="8" t="s">
        <v>732</v>
      </c>
      <c r="C30" s="4"/>
      <c r="D30" s="4"/>
      <c r="E30" s="4"/>
      <c r="F30" s="4"/>
      <c r="G30" s="4"/>
      <c r="K30" s="7" t="e">
        <f t="shared" ca="1" si="0"/>
        <v>#N/A</v>
      </c>
    </row>
    <row r="31" spans="2:11" x14ac:dyDescent="0.2">
      <c r="B31" s="8" t="s">
        <v>733</v>
      </c>
      <c r="C31" s="4"/>
      <c r="D31" s="4"/>
      <c r="E31" s="4"/>
      <c r="F31" s="4"/>
      <c r="G31" s="4"/>
      <c r="K31" s="7" t="e">
        <f t="shared" ca="1" si="0"/>
        <v>#N/A</v>
      </c>
    </row>
    <row r="32" spans="2:11" x14ac:dyDescent="0.2">
      <c r="B32" s="8" t="s">
        <v>734</v>
      </c>
      <c r="C32" s="4"/>
      <c r="D32" s="4"/>
      <c r="E32" s="4"/>
      <c r="F32" s="4"/>
      <c r="G32" s="4"/>
      <c r="K32" s="7" t="e">
        <f t="shared" ca="1" si="0"/>
        <v>#N/A</v>
      </c>
    </row>
    <row r="33" spans="2:11" x14ac:dyDescent="0.2">
      <c r="B33" s="8" t="s">
        <v>735</v>
      </c>
      <c r="C33" s="4"/>
      <c r="D33" s="4"/>
      <c r="E33" s="4"/>
      <c r="F33" s="4"/>
      <c r="G33" s="4"/>
      <c r="K33" s="7" t="e">
        <f t="shared" ca="1" si="0"/>
        <v>#N/A</v>
      </c>
    </row>
    <row r="34" spans="2:11" x14ac:dyDescent="0.2">
      <c r="B34" s="8" t="s">
        <v>736</v>
      </c>
      <c r="C34" s="4"/>
      <c r="D34" s="4"/>
      <c r="E34" s="4"/>
      <c r="F34" s="4"/>
      <c r="G34" s="4"/>
      <c r="K34" s="7" t="e">
        <f t="shared" ca="1" si="0"/>
        <v>#N/A</v>
      </c>
    </row>
    <row r="35" spans="2:11" x14ac:dyDescent="0.2">
      <c r="B35" s="8" t="s">
        <v>737</v>
      </c>
      <c r="C35" s="4"/>
      <c r="D35" s="4"/>
      <c r="E35" s="4"/>
      <c r="F35" s="4"/>
      <c r="G35" s="4"/>
      <c r="K35" s="7" t="e">
        <f t="shared" ca="1" si="0"/>
        <v>#N/A</v>
      </c>
    </row>
    <row r="36" spans="2:11" x14ac:dyDescent="0.2">
      <c r="B36" s="8" t="s">
        <v>738</v>
      </c>
      <c r="C36" s="4"/>
      <c r="D36" s="4"/>
      <c r="E36" s="4"/>
      <c r="F36" s="4"/>
      <c r="G36" s="4"/>
      <c r="K36" s="7" t="e">
        <f t="shared" ca="1" si="0"/>
        <v>#N/A</v>
      </c>
    </row>
    <row r="37" spans="2:11" x14ac:dyDescent="0.2">
      <c r="B37" s="8" t="s">
        <v>739</v>
      </c>
      <c r="C37" s="4"/>
      <c r="D37" s="4"/>
      <c r="E37" s="4"/>
      <c r="F37" s="4"/>
      <c r="G37" s="4"/>
      <c r="K37" s="7" t="e">
        <f t="shared" ca="1" si="0"/>
        <v>#N/A</v>
      </c>
    </row>
    <row r="38" spans="2:11" x14ac:dyDescent="0.2">
      <c r="B38" s="8" t="s">
        <v>740</v>
      </c>
      <c r="C38" s="4"/>
      <c r="D38" s="4"/>
      <c r="E38" s="4"/>
      <c r="F38" s="4"/>
      <c r="G38" s="4"/>
      <c r="K38" s="7" t="e">
        <f t="shared" ca="1" si="0"/>
        <v>#N/A</v>
      </c>
    </row>
    <row r="39" spans="2:11" x14ac:dyDescent="0.2">
      <c r="B39" s="8" t="s">
        <v>741</v>
      </c>
      <c r="C39" s="4"/>
      <c r="D39" s="4"/>
      <c r="E39" s="4"/>
      <c r="F39" s="4"/>
      <c r="G39" s="4"/>
      <c r="K39" s="7" t="e">
        <f t="shared" ca="1" si="0"/>
        <v>#N/A</v>
      </c>
    </row>
    <row r="40" spans="2:11" x14ac:dyDescent="0.2">
      <c r="B40" s="8" t="s">
        <v>742</v>
      </c>
      <c r="C40" s="4"/>
      <c r="D40" s="4"/>
      <c r="E40" s="4"/>
      <c r="F40" s="4"/>
      <c r="G40" s="4"/>
      <c r="K40" s="7" t="e">
        <f t="shared" ca="1" si="0"/>
        <v>#N/A</v>
      </c>
    </row>
    <row r="41" spans="2:11" x14ac:dyDescent="0.2">
      <c r="B41" s="8" t="s">
        <v>743</v>
      </c>
      <c r="C41" s="4"/>
      <c r="D41" s="4"/>
      <c r="E41" s="4"/>
      <c r="F41" s="4"/>
      <c r="G41" s="4"/>
      <c r="K41" s="7" t="e">
        <f t="shared" ca="1" si="0"/>
        <v>#N/A</v>
      </c>
    </row>
    <row r="42" spans="2:11" x14ac:dyDescent="0.2"/>
    <row r="43" spans="2:11" x14ac:dyDescent="0.2"/>
    <row r="44" spans="2:11" x14ac:dyDescent="0.2"/>
    <row r="45" spans="2:11" x14ac:dyDescent="0.2"/>
    <row r="46" spans="2:11" x14ac:dyDescent="0.2"/>
    <row r="47" spans="2:11" hidden="1" x14ac:dyDescent="0.2"/>
    <row r="48" spans="2:11" hidden="1" x14ac:dyDescent="0.2"/>
    <row r="49" hidden="1" x14ac:dyDescent="0.2"/>
    <row r="50" hidden="1" x14ac:dyDescent="0.2"/>
    <row r="51" hidden="1" x14ac:dyDescent="0.2"/>
    <row r="52" hidden="1" x14ac:dyDescent="0.2"/>
    <row r="53" hidden="1" x14ac:dyDescent="0.2"/>
    <row r="54" hidden="1" x14ac:dyDescent="0.2"/>
    <row r="55" hidden="1" x14ac:dyDescent="0.2"/>
    <row r="56" hidden="1" x14ac:dyDescent="0.2"/>
    <row r="57" hidden="1" x14ac:dyDescent="0.2"/>
    <row r="58" hidden="1" x14ac:dyDescent="0.2"/>
    <row r="59" hidden="1" x14ac:dyDescent="0.2"/>
    <row r="60" hidden="1" x14ac:dyDescent="0.2"/>
    <row r="61" hidden="1" x14ac:dyDescent="0.2"/>
    <row r="62" hidden="1" x14ac:dyDescent="0.2"/>
    <row r="63" hidden="1" x14ac:dyDescent="0.2"/>
    <row r="64" hidden="1" x14ac:dyDescent="0.2"/>
    <row r="65" hidden="1" x14ac:dyDescent="0.2"/>
    <row r="66" hidden="1" x14ac:dyDescent="0.2"/>
    <row r="67" hidden="1" x14ac:dyDescent="0.2"/>
    <row r="68" hidden="1" x14ac:dyDescent="0.2"/>
    <row r="69" hidden="1" x14ac:dyDescent="0.2"/>
    <row r="70" hidden="1" x14ac:dyDescent="0.2"/>
    <row r="71" hidden="1" x14ac:dyDescent="0.2"/>
    <row r="72" hidden="1" x14ac:dyDescent="0.2"/>
    <row r="73" hidden="1" x14ac:dyDescent="0.2"/>
    <row r="74" hidden="1" x14ac:dyDescent="0.2"/>
    <row r="75" hidden="1" x14ac:dyDescent="0.2"/>
    <row r="76" hidden="1" x14ac:dyDescent="0.2"/>
    <row r="77" hidden="1" x14ac:dyDescent="0.2"/>
    <row r="78" hidden="1" x14ac:dyDescent="0.2"/>
    <row r="79" hidden="1" x14ac:dyDescent="0.2"/>
    <row r="80" hidden="1" x14ac:dyDescent="0.2"/>
    <row r="81" hidden="1" x14ac:dyDescent="0.2"/>
    <row r="82" hidden="1" x14ac:dyDescent="0.2"/>
    <row r="83" hidden="1" x14ac:dyDescent="0.2"/>
    <row r="84" hidden="1" x14ac:dyDescent="0.2"/>
    <row r="85" hidden="1" x14ac:dyDescent="0.2"/>
    <row r="86" hidden="1" x14ac:dyDescent="0.2"/>
    <row r="87" hidden="1" x14ac:dyDescent="0.2"/>
    <row r="88" hidden="1" x14ac:dyDescent="0.2"/>
    <row r="89" hidden="1" x14ac:dyDescent="0.2"/>
    <row r="90" hidden="1" x14ac:dyDescent="0.2"/>
    <row r="91" hidden="1" x14ac:dyDescent="0.2"/>
    <row r="92" hidden="1" x14ac:dyDescent="0.2"/>
    <row r="93" hidden="1" x14ac:dyDescent="0.2"/>
    <row r="94" hidden="1" x14ac:dyDescent="0.2"/>
    <row r="95" hidden="1" x14ac:dyDescent="0.2"/>
    <row r="96" hidden="1" x14ac:dyDescent="0.2"/>
    <row r="97" hidden="1" x14ac:dyDescent="0.2"/>
    <row r="98" hidden="1" x14ac:dyDescent="0.2"/>
    <row r="99" hidden="1" x14ac:dyDescent="0.2"/>
    <row r="100" hidden="1" x14ac:dyDescent="0.2"/>
    <row r="101" hidden="1" x14ac:dyDescent="0.2"/>
    <row r="102" hidden="1" x14ac:dyDescent="0.2"/>
    <row r="103" hidden="1" x14ac:dyDescent="0.2"/>
    <row r="104" hidden="1" x14ac:dyDescent="0.2"/>
    <row r="105" hidden="1" x14ac:dyDescent="0.2"/>
    <row r="106" hidden="1" x14ac:dyDescent="0.2"/>
    <row r="107" hidden="1" x14ac:dyDescent="0.2"/>
    <row r="108" hidden="1" x14ac:dyDescent="0.2"/>
    <row r="109" hidden="1" x14ac:dyDescent="0.2"/>
    <row r="110" hidden="1" x14ac:dyDescent="0.2"/>
    <row r="111" hidden="1" x14ac:dyDescent="0.2"/>
    <row r="112" hidden="1" x14ac:dyDescent="0.2"/>
    <row r="113" hidden="1" x14ac:dyDescent="0.2"/>
    <row r="114" hidden="1" x14ac:dyDescent="0.2"/>
    <row r="115" hidden="1" x14ac:dyDescent="0.2"/>
    <row r="116" hidden="1" x14ac:dyDescent="0.2"/>
    <row r="117" hidden="1" x14ac:dyDescent="0.2"/>
    <row r="118" hidden="1" x14ac:dyDescent="0.2"/>
    <row r="119" hidden="1" x14ac:dyDescent="0.2"/>
    <row r="120" hidden="1" x14ac:dyDescent="0.2"/>
    <row r="121" hidden="1" x14ac:dyDescent="0.2"/>
    <row r="122" hidden="1" x14ac:dyDescent="0.2"/>
    <row r="123" hidden="1" x14ac:dyDescent="0.2"/>
    <row r="124" hidden="1" x14ac:dyDescent="0.2"/>
    <row r="125" hidden="1" x14ac:dyDescent="0.2"/>
    <row r="126" hidden="1" x14ac:dyDescent="0.2"/>
    <row r="127" hidden="1" x14ac:dyDescent="0.2"/>
    <row r="128" hidden="1" x14ac:dyDescent="0.2"/>
    <row r="129" hidden="1" x14ac:dyDescent="0.2"/>
    <row r="130" hidden="1" x14ac:dyDescent="0.2"/>
    <row r="131" hidden="1" x14ac:dyDescent="0.2"/>
    <row r="132" hidden="1" x14ac:dyDescent="0.2"/>
    <row r="133" hidden="1" x14ac:dyDescent="0.2"/>
    <row r="134" hidden="1" x14ac:dyDescent="0.2"/>
    <row r="135" hidden="1" x14ac:dyDescent="0.2"/>
    <row r="136" hidden="1" x14ac:dyDescent="0.2"/>
    <row r="137" hidden="1" x14ac:dyDescent="0.2"/>
    <row r="138" hidden="1" x14ac:dyDescent="0.2"/>
    <row r="139" hidden="1" x14ac:dyDescent="0.2"/>
    <row r="140" hidden="1" x14ac:dyDescent="0.2"/>
    <row r="141" hidden="1" x14ac:dyDescent="0.2"/>
    <row r="142" hidden="1" x14ac:dyDescent="0.2"/>
    <row r="143" hidden="1" x14ac:dyDescent="0.2"/>
    <row r="144" hidden="1" x14ac:dyDescent="0.2"/>
    <row r="145" hidden="1" x14ac:dyDescent="0.2"/>
    <row r="146" hidden="1" x14ac:dyDescent="0.2"/>
    <row r="147" hidden="1" x14ac:dyDescent="0.2"/>
    <row r="148" hidden="1" x14ac:dyDescent="0.2"/>
    <row r="149" hidden="1" x14ac:dyDescent="0.2"/>
    <row r="150" hidden="1" x14ac:dyDescent="0.2"/>
    <row r="151" hidden="1" x14ac:dyDescent="0.2"/>
    <row r="152" hidden="1" x14ac:dyDescent="0.2"/>
    <row r="153" hidden="1" x14ac:dyDescent="0.2"/>
    <row r="154" hidden="1" x14ac:dyDescent="0.2"/>
    <row r="155" hidden="1" x14ac:dyDescent="0.2"/>
    <row r="156" hidden="1" x14ac:dyDescent="0.2"/>
    <row r="157" hidden="1" x14ac:dyDescent="0.2"/>
    <row r="158" hidden="1" x14ac:dyDescent="0.2"/>
    <row r="159" hidden="1" x14ac:dyDescent="0.2"/>
    <row r="160" hidden="1" x14ac:dyDescent="0.2"/>
    <row r="161" hidden="1" x14ac:dyDescent="0.2"/>
    <row r="162" hidden="1" x14ac:dyDescent="0.2"/>
    <row r="163" hidden="1" x14ac:dyDescent="0.2"/>
    <row r="164" hidden="1" x14ac:dyDescent="0.2"/>
    <row r="165" hidden="1" x14ac:dyDescent="0.2"/>
    <row r="166" hidden="1" x14ac:dyDescent="0.2"/>
    <row r="167" hidden="1" x14ac:dyDescent="0.2"/>
    <row r="168" hidden="1" x14ac:dyDescent="0.2"/>
    <row r="169" hidden="1" x14ac:dyDescent="0.2"/>
    <row r="170" hidden="1" x14ac:dyDescent="0.2"/>
    <row r="171" hidden="1" x14ac:dyDescent="0.2"/>
    <row r="172" hidden="1" x14ac:dyDescent="0.2"/>
    <row r="173" hidden="1" x14ac:dyDescent="0.2"/>
    <row r="174" hidden="1" x14ac:dyDescent="0.2"/>
    <row r="175" hidden="1" x14ac:dyDescent="0.2"/>
    <row r="176" hidden="1" x14ac:dyDescent="0.2"/>
    <row r="177" hidden="1" x14ac:dyDescent="0.2"/>
    <row r="178" hidden="1" x14ac:dyDescent="0.2"/>
    <row r="179" hidden="1" x14ac:dyDescent="0.2"/>
    <row r="180" hidden="1" x14ac:dyDescent="0.2"/>
    <row r="181" hidden="1" x14ac:dyDescent="0.2"/>
    <row r="182" hidden="1" x14ac:dyDescent="0.2"/>
    <row r="183" hidden="1" x14ac:dyDescent="0.2"/>
    <row r="184" hidden="1" x14ac:dyDescent="0.2"/>
    <row r="185" hidden="1" x14ac:dyDescent="0.2"/>
    <row r="186" hidden="1" x14ac:dyDescent="0.2"/>
    <row r="187" hidden="1" x14ac:dyDescent="0.2"/>
    <row r="188" hidden="1" x14ac:dyDescent="0.2"/>
    <row r="189" hidden="1" x14ac:dyDescent="0.2"/>
    <row r="190" hidden="1" x14ac:dyDescent="0.2"/>
    <row r="191" hidden="1" x14ac:dyDescent="0.2"/>
    <row r="192" hidden="1" x14ac:dyDescent="0.2"/>
    <row r="193" hidden="1" x14ac:dyDescent="0.2"/>
    <row r="194" hidden="1" x14ac:dyDescent="0.2"/>
    <row r="195" hidden="1" x14ac:dyDescent="0.2"/>
    <row r="196" hidden="1" x14ac:dyDescent="0.2"/>
    <row r="197" hidden="1" x14ac:dyDescent="0.2"/>
    <row r="198" hidden="1" x14ac:dyDescent="0.2"/>
    <row r="199" hidden="1" x14ac:dyDescent="0.2"/>
    <row r="200" hidden="1" x14ac:dyDescent="0.2"/>
    <row r="201" hidden="1" x14ac:dyDescent="0.2"/>
    <row r="202" hidden="1" x14ac:dyDescent="0.2"/>
    <row r="203" hidden="1" x14ac:dyDescent="0.2"/>
    <row r="204" hidden="1" x14ac:dyDescent="0.2"/>
    <row r="205" hidden="1" x14ac:dyDescent="0.2"/>
    <row r="206" hidden="1" x14ac:dyDescent="0.2"/>
    <row r="207" hidden="1" x14ac:dyDescent="0.2"/>
    <row r="208" hidden="1" x14ac:dyDescent="0.2"/>
    <row r="209" hidden="1" x14ac:dyDescent="0.2"/>
    <row r="210" hidden="1" x14ac:dyDescent="0.2"/>
    <row r="211" hidden="1" x14ac:dyDescent="0.2"/>
    <row r="212" hidden="1" x14ac:dyDescent="0.2"/>
    <row r="213" hidden="1" x14ac:dyDescent="0.2"/>
    <row r="214" hidden="1" x14ac:dyDescent="0.2"/>
    <row r="215" hidden="1" x14ac:dyDescent="0.2"/>
    <row r="216" hidden="1" x14ac:dyDescent="0.2"/>
    <row r="217" hidden="1" x14ac:dyDescent="0.2"/>
    <row r="218" hidden="1" x14ac:dyDescent="0.2"/>
    <row r="219" hidden="1" x14ac:dyDescent="0.2"/>
    <row r="220" hidden="1" x14ac:dyDescent="0.2"/>
    <row r="221" hidden="1" x14ac:dyDescent="0.2"/>
    <row r="222" hidden="1" x14ac:dyDescent="0.2"/>
    <row r="223" hidden="1" x14ac:dyDescent="0.2"/>
    <row r="224" hidden="1" x14ac:dyDescent="0.2"/>
    <row r="225" hidden="1" x14ac:dyDescent="0.2"/>
    <row r="226" hidden="1" x14ac:dyDescent="0.2"/>
    <row r="227" hidden="1" x14ac:dyDescent="0.2"/>
    <row r="228" hidden="1" x14ac:dyDescent="0.2"/>
    <row r="229" hidden="1" x14ac:dyDescent="0.2"/>
    <row r="230" hidden="1" x14ac:dyDescent="0.2"/>
    <row r="231" hidden="1" x14ac:dyDescent="0.2"/>
    <row r="232" hidden="1" x14ac:dyDescent="0.2"/>
    <row r="233" hidden="1" x14ac:dyDescent="0.2"/>
    <row r="234" hidden="1" x14ac:dyDescent="0.2"/>
    <row r="235" hidden="1" x14ac:dyDescent="0.2"/>
    <row r="236" hidden="1" x14ac:dyDescent="0.2"/>
    <row r="237" hidden="1" x14ac:dyDescent="0.2"/>
    <row r="238" hidden="1" x14ac:dyDescent="0.2"/>
    <row r="239" hidden="1" x14ac:dyDescent="0.2"/>
  </sheetData>
  <mergeCells count="1">
    <mergeCell ref="C11:G11"/>
  </mergeCells>
  <phoneticPr fontId="2" type="noConversion"/>
  <dataValidations xWindow="241" yWindow="553" count="5">
    <dataValidation allowBlank="1" showInputMessage="1" showErrorMessage="1" promptTitle="Allowable characters in BMDS" prompt="The following characters are not permitted in BMDS:_x000a_&lt; , &quot; , / , &gt;, spaces" sqref="C11:G11"/>
    <dataValidation type="list" allowBlank="1" showInputMessage="1" showErrorMessage="1" promptTitle="Column Type Assignment" prompt="This specifies the type of data being added to each column, so that the BMDS Wizard can determine which values are currently entered into the tool." sqref="C16:G16">
      <formula1>Valid_DataCol</formula1>
    </dataValidation>
    <dataValidation type="list" allowBlank="1" showInputMessage="1" showErrorMessage="1" sqref="C10">
      <formula1>"calculate,increasing,decreasing"</formula1>
    </dataValidation>
    <dataValidation type="list" allowBlank="1" showInputMessage="1" showErrorMessage="1" sqref="C9">
      <formula1>"calculate,1,2,3,4,5,6,7,8,9,10,11,12,13,14,15,16,17,18,19,20,21,22,23,24,25"</formula1>
    </dataValidation>
    <dataValidation allowBlank="1" showInputMessage="1" showErrorMessage="1" promptTitle="BMDS Column Name Description" prompt="This names each column in the BMDS software._x000a__x000a_The following characters are not permitted in BMDS: &lt; , &quot; , / , &gt;, spaces" sqref="C15:G15"/>
  </dataValidations>
  <hyperlinks>
    <hyperlink ref="B6" location="Main!A6" tooltip="Returns user to the &quot;Main&quot; worksheet" display="Main Menu"/>
  </hyperlinks>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2530" r:id="rId4" name="Button 2">
              <controlPr defaultSize="0" print="0" autoFill="0" autoPict="0" macro="[0]!ClearData">
                <anchor moveWithCells="1" sizeWithCells="1">
                  <from>
                    <xdr:col>6</xdr:col>
                    <xdr:colOff>133350</xdr:colOff>
                    <xdr:row>1</xdr:row>
                    <xdr:rowOff>66675</xdr:rowOff>
                  </from>
                  <to>
                    <xdr:col>6</xdr:col>
                    <xdr:colOff>1295400</xdr:colOff>
                    <xdr:row>3</xdr:row>
                    <xdr:rowOff>95250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enableFormatConditionsCalculation="0">
    <tabColor indexed="42"/>
  </sheetPr>
  <dimension ref="A1:AI504"/>
  <sheetViews>
    <sheetView zoomScaleNormal="100" workbookViewId="0">
      <pane ySplit="8" topLeftCell="A9" activePane="bottomLeft" state="frozen"/>
      <selection pane="bottomLeft" activeCell="R11" sqref="R11"/>
    </sheetView>
  </sheetViews>
  <sheetFormatPr defaultColWidth="0" defaultRowHeight="12.75" zeroHeight="1" x14ac:dyDescent="0.2"/>
  <cols>
    <col min="1" max="1" width="4.28515625" style="6" customWidth="1"/>
    <col min="2" max="2" width="10.5703125" style="6" customWidth="1"/>
    <col min="3" max="3" width="11.85546875" style="6" customWidth="1"/>
    <col min="4" max="4" width="17.5703125" style="6" customWidth="1"/>
    <col min="5" max="5" width="7.7109375" style="6" customWidth="1"/>
    <col min="6" max="6" width="7.5703125" style="6" customWidth="1"/>
    <col min="7" max="8" width="10.28515625" style="6" hidden="1" customWidth="1"/>
    <col min="9" max="9" width="9.85546875" style="6" customWidth="1"/>
    <col min="10" max="11" width="9.5703125" style="6" customWidth="1"/>
    <col min="12" max="12" width="8" style="6" hidden="1" customWidth="1"/>
    <col min="13" max="13" width="8.5703125" style="6" hidden="1" customWidth="1"/>
    <col min="14" max="14" width="7.85546875" style="6" customWidth="1"/>
    <col min="15" max="17" width="7.85546875" style="6" hidden="1" customWidth="1"/>
    <col min="18" max="18" width="7.85546875" style="6" customWidth="1"/>
    <col min="19" max="19" width="7.5703125" style="42" hidden="1" customWidth="1"/>
    <col min="20" max="20" width="10.140625" style="47" customWidth="1"/>
    <col min="21" max="21" width="9.85546875" style="6" customWidth="1"/>
    <col min="22" max="22" width="10.7109375" style="6" hidden="1" customWidth="1"/>
    <col min="23" max="23" width="8" style="6" hidden="1" customWidth="1"/>
    <col min="24" max="24" width="8.5703125" style="6" hidden="1" customWidth="1"/>
    <col min="25" max="25" width="10.28515625" style="6" customWidth="1"/>
    <col min="26" max="27" width="11.28515625" style="6" customWidth="1"/>
    <col min="28" max="28" width="11.5703125" style="6" customWidth="1"/>
    <col min="29" max="31" width="12" style="6" customWidth="1"/>
    <col min="32" max="32" width="21.7109375" style="6" customWidth="1"/>
    <col min="33" max="33" width="11.140625" style="6" customWidth="1"/>
    <col min="34" max="34" width="9.140625" style="6" customWidth="1"/>
    <col min="35" max="35" width="9" style="6" customWidth="1"/>
    <col min="36" max="16384" width="9.140625" style="6" hidden="1"/>
  </cols>
  <sheetData>
    <row r="1" spans="2:33" s="1" customFormat="1" ht="11.25" customHeight="1" thickBot="1" x14ac:dyDescent="0.25">
      <c r="S1" s="43"/>
      <c r="T1" s="45"/>
    </row>
    <row r="2" spans="2:33" s="1" customFormat="1" ht="18" customHeight="1" x14ac:dyDescent="0.25">
      <c r="B2" s="10" t="s">
        <v>562</v>
      </c>
      <c r="I2" s="17"/>
      <c r="J2" s="25"/>
      <c r="K2" s="18"/>
      <c r="S2" s="43"/>
      <c r="T2" s="17"/>
      <c r="U2" s="18"/>
      <c r="Z2" s="17"/>
      <c r="AA2" s="18"/>
      <c r="AB2" s="110" t="s">
        <v>849</v>
      </c>
      <c r="AC2" s="113"/>
      <c r="AD2" s="114"/>
      <c r="AE2" s="114"/>
      <c r="AF2" s="115"/>
      <c r="AG2" s="50"/>
    </row>
    <row r="3" spans="2:33" s="1" customFormat="1" ht="11.25" customHeight="1" x14ac:dyDescent="0.2">
      <c r="I3" s="19"/>
      <c r="J3" s="26"/>
      <c r="K3" s="20"/>
      <c r="S3" s="43"/>
      <c r="T3" s="19"/>
      <c r="U3" s="20"/>
      <c r="Z3" s="19"/>
      <c r="AA3" s="20"/>
      <c r="AB3" s="111"/>
      <c r="AC3" s="116"/>
      <c r="AD3" s="117"/>
      <c r="AE3" s="117"/>
      <c r="AF3" s="118"/>
      <c r="AG3" s="51"/>
    </row>
    <row r="4" spans="2:33" s="1" customFormat="1" ht="12.75" customHeight="1" thickBot="1" x14ac:dyDescent="0.25">
      <c r="B4" s="1" t="s">
        <v>545</v>
      </c>
      <c r="D4" s="74" t="s">
        <v>851</v>
      </c>
      <c r="I4" s="21"/>
      <c r="J4" s="27"/>
      <c r="K4" s="22"/>
      <c r="S4" s="43"/>
      <c r="T4" s="21"/>
      <c r="U4" s="22"/>
      <c r="Z4" s="21"/>
      <c r="AA4" s="22"/>
      <c r="AB4" s="112"/>
      <c r="AC4" s="119"/>
      <c r="AD4" s="120"/>
      <c r="AE4" s="120"/>
      <c r="AF4" s="121"/>
      <c r="AG4" s="52"/>
    </row>
    <row r="5" spans="2:33" s="11" customFormat="1" ht="11.25" customHeight="1" thickBot="1" x14ac:dyDescent="0.25">
      <c r="S5" s="44"/>
      <c r="T5" s="46"/>
    </row>
    <row r="6" spans="2:33" ht="13.5" thickTop="1" x14ac:dyDescent="0.2">
      <c r="B6" s="24" t="s">
        <v>472</v>
      </c>
    </row>
    <row r="7" spans="2:33" x14ac:dyDescent="0.2">
      <c r="B7" s="12" t="s">
        <v>774</v>
      </c>
    </row>
    <row r="8" spans="2:33" ht="63.75" x14ac:dyDescent="0.2">
      <c r="B8" s="87" t="s">
        <v>486</v>
      </c>
      <c r="C8" s="87" t="s">
        <v>514</v>
      </c>
      <c r="D8" s="87" t="s">
        <v>815</v>
      </c>
      <c r="E8" s="87" t="s">
        <v>57</v>
      </c>
      <c r="F8" s="87" t="s">
        <v>326</v>
      </c>
      <c r="G8" s="87" t="s">
        <v>462</v>
      </c>
      <c r="H8" s="87" t="s">
        <v>773</v>
      </c>
      <c r="I8" s="87" t="s">
        <v>527</v>
      </c>
      <c r="J8" s="88" t="s">
        <v>410</v>
      </c>
      <c r="K8" s="88" t="s">
        <v>411</v>
      </c>
      <c r="L8" s="89" t="s">
        <v>684</v>
      </c>
      <c r="M8" s="89" t="s">
        <v>685</v>
      </c>
      <c r="N8" s="88" t="s">
        <v>501</v>
      </c>
      <c r="O8" s="89" t="s">
        <v>412</v>
      </c>
      <c r="P8" s="88" t="s">
        <v>413</v>
      </c>
      <c r="Q8" s="88" t="s">
        <v>414</v>
      </c>
      <c r="R8" s="88" t="s">
        <v>415</v>
      </c>
      <c r="S8" s="88" t="s">
        <v>686</v>
      </c>
      <c r="T8" s="88" t="s">
        <v>416</v>
      </c>
      <c r="U8" s="88" t="s">
        <v>417</v>
      </c>
      <c r="V8" s="89" t="s">
        <v>748</v>
      </c>
      <c r="W8" s="89" t="s">
        <v>816</v>
      </c>
      <c r="X8" s="89" t="s">
        <v>500</v>
      </c>
      <c r="Y8" s="88" t="s">
        <v>749</v>
      </c>
      <c r="Z8" s="88" t="s">
        <v>687</v>
      </c>
      <c r="AA8" s="88" t="s">
        <v>718</v>
      </c>
      <c r="AB8" s="90" t="s">
        <v>796</v>
      </c>
      <c r="AC8" s="90" t="s">
        <v>688</v>
      </c>
      <c r="AD8" s="90" t="s">
        <v>689</v>
      </c>
      <c r="AE8" s="90" t="s">
        <v>546</v>
      </c>
      <c r="AF8" s="90" t="s">
        <v>170</v>
      </c>
    </row>
    <row r="9" spans="2:33" x14ac:dyDescent="0.2">
      <c r="B9" s="91" t="s">
        <v>879</v>
      </c>
      <c r="C9" s="98" t="s">
        <v>880</v>
      </c>
      <c r="D9" s="91" t="s">
        <v>25</v>
      </c>
      <c r="E9" s="91" t="s">
        <v>63</v>
      </c>
      <c r="F9" s="91">
        <v>0.1</v>
      </c>
      <c r="G9" s="91" t="s">
        <v>573</v>
      </c>
      <c r="H9" s="91" t="s">
        <v>573</v>
      </c>
      <c r="I9" s="91" t="b">
        <v>1</v>
      </c>
      <c r="J9" s="93">
        <v>88.950699999999998</v>
      </c>
      <c r="K9" s="93">
        <v>50.412799999999997</v>
      </c>
      <c r="L9" s="94" t="s">
        <v>881</v>
      </c>
      <c r="M9" s="94" t="s">
        <v>881</v>
      </c>
      <c r="N9" s="95">
        <v>1.7644467278151581</v>
      </c>
      <c r="O9" s="94" t="s">
        <v>573</v>
      </c>
      <c r="P9" s="94" t="s">
        <v>573</v>
      </c>
      <c r="Q9" s="94" t="s">
        <v>573</v>
      </c>
      <c r="R9" s="96">
        <v>0.79549999999999998</v>
      </c>
      <c r="S9" s="91" t="s">
        <v>573</v>
      </c>
      <c r="T9" s="93">
        <v>77.698300000000003</v>
      </c>
      <c r="U9" s="96">
        <v>0.379</v>
      </c>
      <c r="V9" s="97" t="s">
        <v>573</v>
      </c>
      <c r="W9" s="95">
        <v>0.46</v>
      </c>
      <c r="X9" s="97">
        <v>2</v>
      </c>
      <c r="Y9" s="91" t="b">
        <v>1</v>
      </c>
      <c r="Z9" s="91" t="s">
        <v>917</v>
      </c>
      <c r="AA9" s="91" t="s">
        <v>64</v>
      </c>
      <c r="AB9" s="101" t="s">
        <v>793</v>
      </c>
      <c r="AC9" s="99" t="s">
        <v>914</v>
      </c>
      <c r="AD9" s="97"/>
      <c r="AE9" s="101" t="s">
        <v>770</v>
      </c>
      <c r="AF9" s="101"/>
    </row>
    <row r="10" spans="2:33" x14ac:dyDescent="0.2">
      <c r="B10" s="91" t="s">
        <v>882</v>
      </c>
      <c r="C10" s="98" t="s">
        <v>880</v>
      </c>
      <c r="D10" s="91" t="s">
        <v>33</v>
      </c>
      <c r="E10" s="91" t="s">
        <v>63</v>
      </c>
      <c r="F10" s="91">
        <v>0.1</v>
      </c>
      <c r="G10" s="91" t="s">
        <v>573</v>
      </c>
      <c r="H10" s="91" t="s">
        <v>573</v>
      </c>
      <c r="I10" s="91" t="b">
        <v>1</v>
      </c>
      <c r="J10" s="93">
        <v>48.757800000000003</v>
      </c>
      <c r="K10" s="94" t="s">
        <v>881</v>
      </c>
      <c r="L10" s="94" t="s">
        <v>881</v>
      </c>
      <c r="M10" s="94" t="s">
        <v>881</v>
      </c>
      <c r="N10" s="91" t="s">
        <v>881</v>
      </c>
      <c r="O10" s="94" t="s">
        <v>573</v>
      </c>
      <c r="P10" s="94" t="s">
        <v>573</v>
      </c>
      <c r="Q10" s="94" t="s">
        <v>573</v>
      </c>
      <c r="R10" s="96">
        <v>0.95330000000000004</v>
      </c>
      <c r="S10" s="91" t="s">
        <v>573</v>
      </c>
      <c r="T10" s="93">
        <v>79.243700000000004</v>
      </c>
      <c r="U10" s="96">
        <v>3.5000000000000003E-2</v>
      </c>
      <c r="V10" s="97" t="s">
        <v>573</v>
      </c>
      <c r="W10" s="92">
        <v>0</v>
      </c>
      <c r="X10" s="97">
        <v>1</v>
      </c>
      <c r="Y10" s="91" t="b">
        <v>0</v>
      </c>
      <c r="Z10" s="91" t="s">
        <v>918</v>
      </c>
      <c r="AA10" s="91" t="s">
        <v>64</v>
      </c>
      <c r="AB10" s="101" t="s">
        <v>795</v>
      </c>
      <c r="AC10" s="102" t="s">
        <v>795</v>
      </c>
      <c r="AD10" s="97" t="s">
        <v>577</v>
      </c>
      <c r="AE10" s="101" t="s">
        <v>770</v>
      </c>
      <c r="AF10" s="101"/>
    </row>
    <row r="11" spans="2:33" x14ac:dyDescent="0.2">
      <c r="B11" s="91" t="s">
        <v>883</v>
      </c>
      <c r="C11" s="98" t="s">
        <v>880</v>
      </c>
      <c r="D11" s="91" t="s">
        <v>27</v>
      </c>
      <c r="E11" s="91" t="s">
        <v>63</v>
      </c>
      <c r="F11" s="91">
        <v>0.1</v>
      </c>
      <c r="G11" s="91" t="s">
        <v>573</v>
      </c>
      <c r="H11" s="91" t="s">
        <v>573</v>
      </c>
      <c r="I11" s="91" t="b">
        <v>1</v>
      </c>
      <c r="J11" s="93">
        <v>75.444400000000002</v>
      </c>
      <c r="K11" s="93">
        <v>38.643099999999997</v>
      </c>
      <c r="L11" s="94" t="s">
        <v>881</v>
      </c>
      <c r="M11" s="94" t="s">
        <v>881</v>
      </c>
      <c r="N11" s="95">
        <v>1.9523381923292906</v>
      </c>
      <c r="O11" s="94" t="s">
        <v>573</v>
      </c>
      <c r="P11" s="94" t="s">
        <v>573</v>
      </c>
      <c r="Q11" s="94" t="s">
        <v>573</v>
      </c>
      <c r="R11" s="96">
        <v>0.87339999999999995</v>
      </c>
      <c r="S11" s="91" t="s">
        <v>573</v>
      </c>
      <c r="T11" s="93">
        <v>77.509100000000004</v>
      </c>
      <c r="U11" s="96">
        <v>0.32300000000000001</v>
      </c>
      <c r="V11" s="97" t="s">
        <v>573</v>
      </c>
      <c r="W11" s="95">
        <v>0.27</v>
      </c>
      <c r="X11" s="97">
        <v>2</v>
      </c>
      <c r="Y11" s="91" t="b">
        <v>1</v>
      </c>
      <c r="Z11" s="91" t="s">
        <v>919</v>
      </c>
      <c r="AA11" s="91" t="s">
        <v>64</v>
      </c>
      <c r="AB11" s="101" t="s">
        <v>793</v>
      </c>
      <c r="AC11" s="100" t="s">
        <v>915</v>
      </c>
      <c r="AD11" s="97" t="s">
        <v>937</v>
      </c>
      <c r="AE11" s="101" t="s">
        <v>770</v>
      </c>
      <c r="AF11" s="101"/>
    </row>
    <row r="12" spans="2:33" x14ac:dyDescent="0.2">
      <c r="B12" s="91" t="s">
        <v>884</v>
      </c>
      <c r="C12" s="98" t="s">
        <v>880</v>
      </c>
      <c r="D12" s="91" t="s">
        <v>26</v>
      </c>
      <c r="E12" s="91" t="s">
        <v>63</v>
      </c>
      <c r="F12" s="91">
        <v>0.1</v>
      </c>
      <c r="G12" s="91" t="s">
        <v>573</v>
      </c>
      <c r="H12" s="91" t="s">
        <v>573</v>
      </c>
      <c r="I12" s="91" t="b">
        <v>1</v>
      </c>
      <c r="J12" s="92">
        <v>153.40299999999999</v>
      </c>
      <c r="K12" s="92">
        <v>106.881</v>
      </c>
      <c r="L12" s="94" t="s">
        <v>881</v>
      </c>
      <c r="M12" s="94" t="s">
        <v>881</v>
      </c>
      <c r="N12" s="95">
        <v>1.4352691310897165</v>
      </c>
      <c r="O12" s="94" t="s">
        <v>573</v>
      </c>
      <c r="P12" s="94" t="s">
        <v>573</v>
      </c>
      <c r="Q12" s="94" t="s">
        <v>573</v>
      </c>
      <c r="R12" s="96">
        <v>0.53949999999999998</v>
      </c>
      <c r="S12" s="91" t="s">
        <v>573</v>
      </c>
      <c r="T12" s="93">
        <v>78.569100000000006</v>
      </c>
      <c r="U12" s="96">
        <v>0.67800000000000005</v>
      </c>
      <c r="V12" s="97" t="s">
        <v>573</v>
      </c>
      <c r="W12" s="95">
        <v>1.23</v>
      </c>
      <c r="X12" s="97">
        <v>2</v>
      </c>
      <c r="Y12" s="91" t="b">
        <v>0</v>
      </c>
      <c r="Z12" s="91" t="s">
        <v>920</v>
      </c>
      <c r="AA12" s="91" t="s">
        <v>64</v>
      </c>
      <c r="AB12" s="101" t="s">
        <v>793</v>
      </c>
      <c r="AC12" s="99" t="s">
        <v>914</v>
      </c>
      <c r="AD12" s="97"/>
      <c r="AE12" s="101" t="s">
        <v>770</v>
      </c>
      <c r="AF12" s="101"/>
    </row>
    <row r="13" spans="2:33" x14ac:dyDescent="0.2">
      <c r="B13" s="91" t="s">
        <v>885</v>
      </c>
      <c r="C13" s="98" t="s">
        <v>880</v>
      </c>
      <c r="D13" s="91" t="s">
        <v>30</v>
      </c>
      <c r="E13" s="91" t="s">
        <v>63</v>
      </c>
      <c r="F13" s="91">
        <v>0.1</v>
      </c>
      <c r="G13" s="91" t="s">
        <v>573</v>
      </c>
      <c r="H13" s="91" t="s">
        <v>573</v>
      </c>
      <c r="I13" s="91" t="b">
        <v>1</v>
      </c>
      <c r="J13" s="92">
        <v>144.58099999999999</v>
      </c>
      <c r="K13" s="93">
        <v>99.995900000000006</v>
      </c>
      <c r="L13" s="94" t="s">
        <v>881</v>
      </c>
      <c r="M13" s="94" t="s">
        <v>881</v>
      </c>
      <c r="N13" s="95">
        <v>1.445869280640506</v>
      </c>
      <c r="O13" s="94" t="s">
        <v>573</v>
      </c>
      <c r="P13" s="94" t="s">
        <v>573</v>
      </c>
      <c r="Q13" s="94" t="s">
        <v>573</v>
      </c>
      <c r="R13" s="96">
        <v>0.5665</v>
      </c>
      <c r="S13" s="91" t="s">
        <v>573</v>
      </c>
      <c r="T13" s="93">
        <v>78.454400000000007</v>
      </c>
      <c r="U13" s="96">
        <v>0.64200000000000002</v>
      </c>
      <c r="V13" s="97" t="s">
        <v>573</v>
      </c>
      <c r="W13" s="95">
        <v>1.1399999999999999</v>
      </c>
      <c r="X13" s="97">
        <v>2</v>
      </c>
      <c r="Y13" s="91" t="b">
        <v>0</v>
      </c>
      <c r="Z13" s="91" t="s">
        <v>921</v>
      </c>
      <c r="AA13" s="91" t="s">
        <v>64</v>
      </c>
      <c r="AB13" s="101" t="s">
        <v>793</v>
      </c>
      <c r="AC13" s="99" t="s">
        <v>914</v>
      </c>
      <c r="AD13" s="97"/>
      <c r="AE13" s="101" t="s">
        <v>770</v>
      </c>
      <c r="AF13" s="101"/>
    </row>
    <row r="14" spans="2:33" x14ac:dyDescent="0.2">
      <c r="B14" s="91" t="s">
        <v>886</v>
      </c>
      <c r="C14" s="98" t="s">
        <v>880</v>
      </c>
      <c r="D14" s="91" t="s">
        <v>28</v>
      </c>
      <c r="E14" s="91" t="s">
        <v>63</v>
      </c>
      <c r="F14" s="91">
        <v>0.1</v>
      </c>
      <c r="G14" s="91" t="s">
        <v>573</v>
      </c>
      <c r="H14" s="91" t="s">
        <v>573</v>
      </c>
      <c r="I14" s="91" t="b">
        <v>1</v>
      </c>
      <c r="J14" s="92">
        <v>151.44200000000001</v>
      </c>
      <c r="K14" s="93">
        <v>90.170500000000004</v>
      </c>
      <c r="L14" s="94" t="s">
        <v>881</v>
      </c>
      <c r="M14" s="94" t="s">
        <v>881</v>
      </c>
      <c r="N14" s="95">
        <v>1.6795071558880121</v>
      </c>
      <c r="O14" s="94" t="s">
        <v>573</v>
      </c>
      <c r="P14" s="94" t="s">
        <v>573</v>
      </c>
      <c r="Q14" s="94" t="s">
        <v>573</v>
      </c>
      <c r="R14" s="96">
        <v>0.46079999999999999</v>
      </c>
      <c r="S14" s="91" t="s">
        <v>573</v>
      </c>
      <c r="T14" s="93">
        <v>78.874099999999999</v>
      </c>
      <c r="U14" s="96">
        <v>0.65500000000000003</v>
      </c>
      <c r="V14" s="97" t="s">
        <v>573</v>
      </c>
      <c r="W14" s="95">
        <v>1.55</v>
      </c>
      <c r="X14" s="97">
        <v>2</v>
      </c>
      <c r="Y14" s="91" t="b">
        <v>1</v>
      </c>
      <c r="Z14" s="91" t="s">
        <v>922</v>
      </c>
      <c r="AA14" s="91" t="s">
        <v>64</v>
      </c>
      <c r="AB14" s="101" t="s">
        <v>793</v>
      </c>
      <c r="AC14" s="99" t="s">
        <v>914</v>
      </c>
      <c r="AD14" s="97"/>
      <c r="AE14" s="101" t="s">
        <v>770</v>
      </c>
      <c r="AF14" s="101"/>
    </row>
    <row r="15" spans="2:33" x14ac:dyDescent="0.2">
      <c r="B15" s="91" t="s">
        <v>887</v>
      </c>
      <c r="C15" s="98" t="s">
        <v>880</v>
      </c>
      <c r="D15" s="91" t="s">
        <v>31</v>
      </c>
      <c r="E15" s="91" t="s">
        <v>63</v>
      </c>
      <c r="F15" s="91">
        <v>0.1</v>
      </c>
      <c r="G15" s="91" t="s">
        <v>573</v>
      </c>
      <c r="H15" s="91" t="s">
        <v>573</v>
      </c>
      <c r="I15" s="91" t="b">
        <v>1</v>
      </c>
      <c r="J15" s="93">
        <v>88.950800000000001</v>
      </c>
      <c r="K15" s="93">
        <v>50.412799999999997</v>
      </c>
      <c r="L15" s="94" t="s">
        <v>881</v>
      </c>
      <c r="M15" s="94" t="s">
        <v>881</v>
      </c>
      <c r="N15" s="95">
        <v>1.7644487114383649</v>
      </c>
      <c r="O15" s="94" t="s">
        <v>573</v>
      </c>
      <c r="P15" s="94" t="s">
        <v>573</v>
      </c>
      <c r="Q15" s="94" t="s">
        <v>573</v>
      </c>
      <c r="R15" s="96">
        <v>0.79549999999999998</v>
      </c>
      <c r="S15" s="91" t="s">
        <v>573</v>
      </c>
      <c r="T15" s="93">
        <v>77.698300000000003</v>
      </c>
      <c r="U15" s="96">
        <v>0.379</v>
      </c>
      <c r="V15" s="97" t="s">
        <v>573</v>
      </c>
      <c r="W15" s="95">
        <v>0.46</v>
      </c>
      <c r="X15" s="97">
        <v>2</v>
      </c>
      <c r="Y15" s="91" t="b">
        <v>1</v>
      </c>
      <c r="Z15" s="91" t="s">
        <v>923</v>
      </c>
      <c r="AA15" s="91" t="s">
        <v>64</v>
      </c>
      <c r="AB15" s="101" t="s">
        <v>793</v>
      </c>
      <c r="AC15" s="99" t="s">
        <v>914</v>
      </c>
      <c r="AD15" s="97"/>
      <c r="AE15" s="101" t="s">
        <v>770</v>
      </c>
      <c r="AF15" s="101"/>
    </row>
    <row r="16" spans="2:33" x14ac:dyDescent="0.2">
      <c r="B16" s="91" t="s">
        <v>888</v>
      </c>
      <c r="C16" s="98" t="s">
        <v>880</v>
      </c>
      <c r="D16" s="91" t="s">
        <v>889</v>
      </c>
      <c r="E16" s="91" t="s">
        <v>63</v>
      </c>
      <c r="F16" s="91">
        <v>0.1</v>
      </c>
      <c r="G16" s="91" t="s">
        <v>573</v>
      </c>
      <c r="H16" s="91" t="s">
        <v>573</v>
      </c>
      <c r="I16" s="91" t="b">
        <v>1</v>
      </c>
      <c r="J16" s="93">
        <v>88.950699999999998</v>
      </c>
      <c r="K16" s="93">
        <v>50.412799999999997</v>
      </c>
      <c r="L16" s="92">
        <v>285.75400000000002</v>
      </c>
      <c r="M16" s="94" t="s">
        <v>881</v>
      </c>
      <c r="N16" s="95">
        <v>1.7644467278151581</v>
      </c>
      <c r="O16" s="94" t="s">
        <v>573</v>
      </c>
      <c r="P16" s="94" t="s">
        <v>573</v>
      </c>
      <c r="Q16" s="94" t="s">
        <v>573</v>
      </c>
      <c r="R16" s="96">
        <v>0.79549999999999998</v>
      </c>
      <c r="S16" s="91" t="s">
        <v>573</v>
      </c>
      <c r="T16" s="93">
        <v>77.698300000000003</v>
      </c>
      <c r="U16" s="96">
        <v>0.379</v>
      </c>
      <c r="V16" s="97" t="s">
        <v>573</v>
      </c>
      <c r="W16" s="95">
        <v>0.46</v>
      </c>
      <c r="X16" s="97">
        <v>2</v>
      </c>
      <c r="Y16" s="91" t="b">
        <v>1</v>
      </c>
      <c r="Z16" s="91" t="s">
        <v>924</v>
      </c>
      <c r="AA16" s="91" t="s">
        <v>64</v>
      </c>
      <c r="AB16" s="101" t="s">
        <v>793</v>
      </c>
      <c r="AC16" s="99" t="s">
        <v>914</v>
      </c>
      <c r="AD16" s="97"/>
      <c r="AE16" s="101" t="s">
        <v>770</v>
      </c>
      <c r="AF16" s="101"/>
    </row>
    <row r="17" spans="2:32" x14ac:dyDescent="0.2">
      <c r="B17" s="91" t="s">
        <v>890</v>
      </c>
      <c r="C17" s="98" t="s">
        <v>880</v>
      </c>
      <c r="D17" s="91" t="s">
        <v>891</v>
      </c>
      <c r="E17" s="91" t="s">
        <v>63</v>
      </c>
      <c r="F17" s="91">
        <v>0.1</v>
      </c>
      <c r="G17" s="91" t="s">
        <v>573</v>
      </c>
      <c r="H17" s="91" t="s">
        <v>573</v>
      </c>
      <c r="I17" s="91" t="b">
        <v>1</v>
      </c>
      <c r="J17" s="93">
        <v>88.950599999999994</v>
      </c>
      <c r="K17" s="93">
        <v>50.412799999999997</v>
      </c>
      <c r="L17" s="92">
        <v>277.94099999999997</v>
      </c>
      <c r="M17" s="94" t="s">
        <v>881</v>
      </c>
      <c r="N17" s="95">
        <v>1.7644447441919513</v>
      </c>
      <c r="O17" s="94" t="s">
        <v>573</v>
      </c>
      <c r="P17" s="94" t="s">
        <v>573</v>
      </c>
      <c r="Q17" s="94" t="s">
        <v>573</v>
      </c>
      <c r="R17" s="96">
        <v>0.79549999999999998</v>
      </c>
      <c r="S17" s="91" t="s">
        <v>573</v>
      </c>
      <c r="T17" s="93">
        <v>77.698300000000003</v>
      </c>
      <c r="U17" s="96">
        <v>0.379</v>
      </c>
      <c r="V17" s="97" t="s">
        <v>573</v>
      </c>
      <c r="W17" s="95">
        <v>0.46</v>
      </c>
      <c r="X17" s="97">
        <v>2</v>
      </c>
      <c r="Y17" s="91" t="b">
        <v>1</v>
      </c>
      <c r="Z17" s="91" t="s">
        <v>925</v>
      </c>
      <c r="AA17" s="91" t="s">
        <v>64</v>
      </c>
      <c r="AB17" s="101" t="s">
        <v>793</v>
      </c>
      <c r="AC17" s="99" t="s">
        <v>914</v>
      </c>
      <c r="AD17" s="97"/>
      <c r="AE17" s="101" t="s">
        <v>770</v>
      </c>
      <c r="AF17" s="101"/>
    </row>
    <row r="18" spans="2:32" x14ac:dyDescent="0.2">
      <c r="B18" s="91" t="s">
        <v>892</v>
      </c>
      <c r="C18" s="98" t="s">
        <v>880</v>
      </c>
      <c r="D18" s="91" t="s">
        <v>893</v>
      </c>
      <c r="E18" s="91" t="s">
        <v>63</v>
      </c>
      <c r="F18" s="91">
        <v>0.1</v>
      </c>
      <c r="G18" s="91" t="s">
        <v>573</v>
      </c>
      <c r="H18" s="91" t="s">
        <v>573</v>
      </c>
      <c r="I18" s="91" t="b">
        <v>1</v>
      </c>
      <c r="J18" s="93">
        <v>88.950699999999998</v>
      </c>
      <c r="K18" s="93">
        <v>50.412799999999997</v>
      </c>
      <c r="L18" s="92">
        <v>268.892</v>
      </c>
      <c r="M18" s="94" t="s">
        <v>881</v>
      </c>
      <c r="N18" s="95">
        <v>1.7644467278151581</v>
      </c>
      <c r="O18" s="94" t="s">
        <v>573</v>
      </c>
      <c r="P18" s="94" t="s">
        <v>573</v>
      </c>
      <c r="Q18" s="94" t="s">
        <v>573</v>
      </c>
      <c r="R18" s="96">
        <v>0.79549999999999998</v>
      </c>
      <c r="S18" s="91" t="s">
        <v>573</v>
      </c>
      <c r="T18" s="93">
        <v>77.698300000000003</v>
      </c>
      <c r="U18" s="96">
        <v>0.379</v>
      </c>
      <c r="V18" s="97" t="s">
        <v>573</v>
      </c>
      <c r="W18" s="95">
        <v>0.46</v>
      </c>
      <c r="X18" s="97">
        <v>2</v>
      </c>
      <c r="Y18" s="91" t="b">
        <v>0</v>
      </c>
      <c r="Z18" s="91" t="s">
        <v>926</v>
      </c>
      <c r="AA18" s="91" t="s">
        <v>64</v>
      </c>
      <c r="AB18" s="101" t="s">
        <v>793</v>
      </c>
      <c r="AC18" s="99" t="s">
        <v>914</v>
      </c>
      <c r="AD18" s="97"/>
      <c r="AE18" s="101" t="s">
        <v>770</v>
      </c>
      <c r="AF18" s="101"/>
    </row>
    <row r="19" spans="2:32" x14ac:dyDescent="0.2">
      <c r="B19" s="76"/>
      <c r="C19" s="76"/>
      <c r="D19" s="76"/>
      <c r="E19" s="76"/>
      <c r="F19" s="76"/>
      <c r="G19" s="76"/>
      <c r="H19" s="76"/>
      <c r="I19" s="76"/>
      <c r="J19" s="76"/>
      <c r="K19" s="76"/>
      <c r="L19" s="75"/>
      <c r="M19" s="75"/>
      <c r="N19" s="76"/>
      <c r="O19" s="75"/>
      <c r="P19" s="76"/>
      <c r="Q19" s="76"/>
      <c r="R19" s="76"/>
      <c r="S19" s="76"/>
      <c r="T19" s="76"/>
      <c r="U19" s="76"/>
      <c r="V19" s="75"/>
      <c r="W19" s="75"/>
      <c r="X19" s="75"/>
      <c r="Y19" s="76"/>
      <c r="Z19" s="76"/>
      <c r="AA19" s="76"/>
      <c r="AB19" s="75"/>
      <c r="AC19" s="75"/>
      <c r="AD19" s="75"/>
      <c r="AE19" s="75"/>
      <c r="AF19" s="75"/>
    </row>
    <row r="20" spans="2:32" x14ac:dyDescent="0.2">
      <c r="B20" s="76"/>
      <c r="C20" s="76"/>
      <c r="D20" s="76"/>
      <c r="E20" s="76"/>
      <c r="F20" s="76"/>
      <c r="G20" s="76"/>
      <c r="H20" s="76"/>
      <c r="I20" s="76"/>
      <c r="J20" s="76"/>
      <c r="K20" s="76"/>
      <c r="L20" s="75"/>
      <c r="M20" s="75"/>
      <c r="N20" s="76"/>
      <c r="O20" s="75"/>
      <c r="P20" s="76"/>
      <c r="Q20" s="76"/>
      <c r="R20" s="76"/>
      <c r="S20" s="76"/>
      <c r="T20" s="76"/>
      <c r="U20" s="76"/>
      <c r="V20" s="75"/>
      <c r="W20" s="75"/>
      <c r="X20" s="75"/>
      <c r="Y20" s="76"/>
      <c r="Z20" s="76"/>
      <c r="AA20" s="76"/>
      <c r="AB20" s="75"/>
      <c r="AC20" s="75"/>
      <c r="AD20" s="75"/>
      <c r="AE20" s="75"/>
      <c r="AF20" s="75"/>
    </row>
    <row r="21" spans="2:32" x14ac:dyDescent="0.2">
      <c r="B21" s="76"/>
      <c r="C21" s="76"/>
      <c r="D21" s="76"/>
      <c r="E21" s="76"/>
      <c r="F21" s="76"/>
      <c r="G21" s="76"/>
      <c r="H21" s="76"/>
      <c r="I21" s="76"/>
      <c r="J21" s="76"/>
      <c r="K21" s="76"/>
      <c r="L21" s="75"/>
      <c r="M21" s="75"/>
      <c r="N21" s="76"/>
      <c r="O21" s="75"/>
      <c r="P21" s="76"/>
      <c r="Q21" s="76"/>
      <c r="R21" s="76"/>
      <c r="S21" s="76"/>
      <c r="T21" s="76"/>
      <c r="U21" s="76"/>
      <c r="V21" s="75"/>
      <c r="W21" s="75"/>
      <c r="X21" s="75"/>
      <c r="Y21" s="76"/>
      <c r="Z21" s="76"/>
      <c r="AA21" s="76"/>
      <c r="AB21" s="75"/>
      <c r="AC21" s="75"/>
      <c r="AD21" s="75"/>
      <c r="AE21" s="75"/>
      <c r="AF21" s="75"/>
    </row>
    <row r="22" spans="2:32" x14ac:dyDescent="0.2">
      <c r="B22" s="76"/>
      <c r="C22" s="76"/>
      <c r="D22" s="76"/>
      <c r="E22" s="76"/>
      <c r="F22" s="76"/>
      <c r="G22" s="76"/>
      <c r="H22" s="76"/>
      <c r="I22" s="76"/>
      <c r="J22" s="76"/>
      <c r="K22" s="76"/>
      <c r="L22" s="75"/>
      <c r="M22" s="75"/>
      <c r="N22" s="76"/>
      <c r="O22" s="75"/>
      <c r="P22" s="76"/>
      <c r="Q22" s="76"/>
      <c r="R22" s="76"/>
      <c r="S22" s="76"/>
      <c r="T22" s="76"/>
      <c r="U22" s="76"/>
      <c r="V22" s="75"/>
      <c r="W22" s="75"/>
      <c r="X22" s="75"/>
      <c r="Y22" s="76"/>
      <c r="Z22" s="76"/>
      <c r="AA22" s="76"/>
      <c r="AB22" s="75"/>
      <c r="AC22" s="75"/>
      <c r="AD22" s="75"/>
      <c r="AE22" s="75"/>
      <c r="AF22" s="75"/>
    </row>
    <row r="23" spans="2:32" x14ac:dyDescent="0.2">
      <c r="B23" s="76"/>
      <c r="C23" s="76"/>
      <c r="D23" s="76"/>
      <c r="E23" s="76"/>
      <c r="F23" s="76"/>
      <c r="G23" s="76"/>
      <c r="H23" s="76"/>
      <c r="I23" s="76"/>
      <c r="J23" s="76"/>
      <c r="K23" s="76"/>
      <c r="L23" s="75"/>
      <c r="M23" s="75"/>
      <c r="N23" s="76"/>
      <c r="O23" s="75"/>
      <c r="P23" s="76"/>
      <c r="Q23" s="76"/>
      <c r="R23" s="76"/>
      <c r="S23" s="76"/>
      <c r="T23" s="76"/>
      <c r="U23" s="76"/>
      <c r="V23" s="75"/>
      <c r="W23" s="75"/>
      <c r="X23" s="75"/>
      <c r="Y23" s="76"/>
      <c r="Z23" s="76"/>
      <c r="AA23" s="76"/>
      <c r="AB23" s="75"/>
      <c r="AC23" s="75"/>
      <c r="AD23" s="75"/>
      <c r="AE23" s="75"/>
      <c r="AF23" s="75"/>
    </row>
    <row r="24" spans="2:32" x14ac:dyDescent="0.2">
      <c r="B24" s="76"/>
      <c r="C24" s="76"/>
      <c r="D24" s="76"/>
      <c r="E24" s="76"/>
      <c r="F24" s="76"/>
      <c r="G24" s="76"/>
      <c r="H24" s="76"/>
      <c r="I24" s="76"/>
      <c r="J24" s="76"/>
      <c r="K24" s="76"/>
      <c r="L24" s="75"/>
      <c r="M24" s="75"/>
      <c r="N24" s="76"/>
      <c r="O24" s="75"/>
      <c r="P24" s="76"/>
      <c r="Q24" s="76"/>
      <c r="R24" s="76"/>
      <c r="S24" s="76"/>
      <c r="T24" s="76"/>
      <c r="U24" s="76"/>
      <c r="V24" s="75"/>
      <c r="W24" s="75"/>
      <c r="X24" s="75"/>
      <c r="Y24" s="76"/>
      <c r="Z24" s="76"/>
      <c r="AA24" s="76"/>
      <c r="AB24" s="75"/>
      <c r="AC24" s="75"/>
      <c r="AD24" s="75"/>
      <c r="AE24" s="75"/>
      <c r="AF24" s="75"/>
    </row>
    <row r="25" spans="2:32" x14ac:dyDescent="0.2">
      <c r="B25" s="76"/>
      <c r="C25" s="76"/>
      <c r="D25" s="76"/>
      <c r="E25" s="76"/>
      <c r="F25" s="76"/>
      <c r="G25" s="76"/>
      <c r="H25" s="76"/>
      <c r="I25" s="76"/>
      <c r="J25" s="76"/>
      <c r="K25" s="76"/>
      <c r="L25" s="75"/>
      <c r="M25" s="75"/>
      <c r="N25" s="76"/>
      <c r="O25" s="75"/>
      <c r="P25" s="76"/>
      <c r="Q25" s="76"/>
      <c r="R25" s="76"/>
      <c r="S25" s="76"/>
      <c r="T25" s="76"/>
      <c r="U25" s="76"/>
      <c r="V25" s="75"/>
      <c r="W25" s="75"/>
      <c r="X25" s="75"/>
      <c r="Y25" s="76"/>
      <c r="Z25" s="76"/>
      <c r="AA25" s="76"/>
      <c r="AB25" s="75"/>
      <c r="AC25" s="75"/>
      <c r="AD25" s="75"/>
      <c r="AE25" s="75"/>
      <c r="AF25" s="75"/>
    </row>
    <row r="26" spans="2:32" x14ac:dyDescent="0.2">
      <c r="B26" s="76"/>
      <c r="C26" s="76"/>
      <c r="D26" s="76"/>
      <c r="E26" s="76"/>
      <c r="F26" s="76"/>
      <c r="G26" s="76"/>
      <c r="H26" s="76"/>
      <c r="I26" s="76"/>
      <c r="J26" s="76"/>
      <c r="K26" s="76"/>
      <c r="L26" s="75"/>
      <c r="M26" s="75"/>
      <c r="N26" s="76"/>
      <c r="O26" s="75"/>
      <c r="P26" s="76"/>
      <c r="Q26" s="76"/>
      <c r="R26" s="76"/>
      <c r="S26" s="76"/>
      <c r="T26" s="76"/>
      <c r="U26" s="76"/>
      <c r="V26" s="75"/>
      <c r="W26" s="75"/>
      <c r="X26" s="75"/>
      <c r="Y26" s="76"/>
      <c r="Z26" s="76"/>
      <c r="AA26" s="76"/>
      <c r="AB26" s="75"/>
      <c r="AC26" s="75"/>
      <c r="AD26" s="75"/>
      <c r="AE26" s="75"/>
      <c r="AF26" s="75"/>
    </row>
    <row r="27" spans="2:32" x14ac:dyDescent="0.2">
      <c r="B27" s="76"/>
      <c r="C27" s="76"/>
      <c r="D27" s="76"/>
      <c r="E27" s="76"/>
      <c r="F27" s="76"/>
      <c r="G27" s="76"/>
      <c r="H27" s="76"/>
      <c r="I27" s="76"/>
      <c r="J27" s="76"/>
      <c r="K27" s="76"/>
      <c r="L27" s="75"/>
      <c r="M27" s="75"/>
      <c r="N27" s="76"/>
      <c r="O27" s="75"/>
      <c r="P27" s="76"/>
      <c r="Q27" s="76"/>
      <c r="R27" s="76"/>
      <c r="S27" s="76"/>
      <c r="T27" s="76"/>
      <c r="U27" s="76"/>
      <c r="V27" s="75"/>
      <c r="W27" s="75"/>
      <c r="X27" s="75"/>
      <c r="Y27" s="76"/>
      <c r="Z27" s="76"/>
      <c r="AA27" s="76"/>
      <c r="AB27" s="75"/>
      <c r="AC27" s="75"/>
      <c r="AD27" s="75"/>
      <c r="AE27" s="75"/>
      <c r="AF27" s="75"/>
    </row>
    <row r="28" spans="2:32" x14ac:dyDescent="0.2">
      <c r="B28" s="76"/>
      <c r="C28" s="76"/>
      <c r="D28" s="76"/>
      <c r="E28" s="76"/>
      <c r="F28" s="76"/>
      <c r="G28" s="76"/>
      <c r="H28" s="76"/>
      <c r="I28" s="76"/>
      <c r="J28" s="76"/>
      <c r="K28" s="76"/>
      <c r="L28" s="75"/>
      <c r="M28" s="75"/>
      <c r="N28" s="76"/>
      <c r="O28" s="75"/>
      <c r="P28" s="76"/>
      <c r="Q28" s="76"/>
      <c r="R28" s="76"/>
      <c r="S28" s="76"/>
      <c r="T28" s="76"/>
      <c r="U28" s="76"/>
      <c r="V28" s="75"/>
      <c r="W28" s="75"/>
      <c r="X28" s="75"/>
      <c r="Y28" s="76"/>
      <c r="Z28" s="76"/>
      <c r="AA28" s="76"/>
      <c r="AB28" s="75"/>
      <c r="AC28" s="75"/>
      <c r="AD28" s="75"/>
      <c r="AE28" s="75"/>
      <c r="AF28" s="75"/>
    </row>
    <row r="29" spans="2:32" x14ac:dyDescent="0.2">
      <c r="B29" s="76"/>
      <c r="C29" s="76"/>
      <c r="D29" s="76"/>
      <c r="E29" s="76"/>
      <c r="F29" s="76"/>
      <c r="G29" s="76"/>
      <c r="H29" s="76"/>
      <c r="I29" s="76"/>
      <c r="J29" s="76"/>
      <c r="K29" s="76"/>
      <c r="L29" s="75"/>
      <c r="M29" s="75"/>
      <c r="N29" s="76"/>
      <c r="O29" s="75"/>
      <c r="P29" s="76"/>
      <c r="Q29" s="76"/>
      <c r="R29" s="76"/>
      <c r="S29" s="76"/>
      <c r="T29" s="76"/>
      <c r="U29" s="76"/>
      <c r="V29" s="75"/>
      <c r="W29" s="75"/>
      <c r="X29" s="75"/>
      <c r="Y29" s="76"/>
      <c r="Z29" s="76"/>
      <c r="AA29" s="76"/>
      <c r="AB29" s="75"/>
      <c r="AC29" s="75"/>
      <c r="AD29" s="75"/>
      <c r="AE29" s="75"/>
      <c r="AF29" s="75"/>
    </row>
    <row r="30" spans="2:32" x14ac:dyDescent="0.2">
      <c r="B30" s="76"/>
      <c r="C30" s="76"/>
      <c r="D30" s="76"/>
      <c r="E30" s="76"/>
      <c r="F30" s="76"/>
      <c r="G30" s="76"/>
      <c r="H30" s="76"/>
      <c r="I30" s="76"/>
      <c r="J30" s="76"/>
      <c r="K30" s="76"/>
      <c r="L30" s="75"/>
      <c r="M30" s="75"/>
      <c r="N30" s="76"/>
      <c r="O30" s="75"/>
      <c r="P30" s="76"/>
      <c r="Q30" s="76"/>
      <c r="R30" s="76"/>
      <c r="S30" s="76"/>
      <c r="T30" s="76"/>
      <c r="U30" s="76"/>
      <c r="V30" s="75"/>
      <c r="W30" s="75"/>
      <c r="X30" s="75"/>
      <c r="Y30" s="76"/>
      <c r="Z30" s="76"/>
      <c r="AA30" s="76"/>
      <c r="AB30" s="75"/>
      <c r="AC30" s="75"/>
      <c r="AD30" s="75"/>
      <c r="AE30" s="75"/>
      <c r="AF30" s="75"/>
    </row>
    <row r="31" spans="2:32" x14ac:dyDescent="0.2">
      <c r="B31" s="76"/>
      <c r="C31" s="76"/>
      <c r="D31" s="76"/>
      <c r="E31" s="76"/>
      <c r="F31" s="76"/>
      <c r="G31" s="76"/>
      <c r="H31" s="76"/>
      <c r="I31" s="76"/>
      <c r="J31" s="76"/>
      <c r="K31" s="76"/>
      <c r="L31" s="75"/>
      <c r="M31" s="75"/>
      <c r="N31" s="76"/>
      <c r="O31" s="75"/>
      <c r="P31" s="76"/>
      <c r="Q31" s="76"/>
      <c r="R31" s="76"/>
      <c r="S31" s="76"/>
      <c r="T31" s="76"/>
      <c r="U31" s="76"/>
      <c r="V31" s="75"/>
      <c r="W31" s="75"/>
      <c r="X31" s="75"/>
      <c r="Y31" s="76"/>
      <c r="Z31" s="76"/>
      <c r="AA31" s="76"/>
      <c r="AB31" s="75"/>
      <c r="AC31" s="75"/>
      <c r="AD31" s="75"/>
      <c r="AE31" s="75"/>
      <c r="AF31" s="75"/>
    </row>
    <row r="32" spans="2:32" x14ac:dyDescent="0.2">
      <c r="B32" s="76"/>
      <c r="C32" s="76"/>
      <c r="D32" s="76"/>
      <c r="E32" s="76"/>
      <c r="F32" s="76"/>
      <c r="G32" s="76"/>
      <c r="H32" s="76"/>
      <c r="I32" s="76"/>
      <c r="J32" s="76"/>
      <c r="K32" s="76"/>
      <c r="L32" s="75"/>
      <c r="M32" s="75"/>
      <c r="N32" s="76"/>
      <c r="O32" s="75"/>
      <c r="P32" s="76"/>
      <c r="Q32" s="76"/>
      <c r="R32" s="76"/>
      <c r="S32" s="76"/>
      <c r="T32" s="76"/>
      <c r="U32" s="76"/>
      <c r="V32" s="75"/>
      <c r="W32" s="75"/>
      <c r="X32" s="75"/>
      <c r="Y32" s="76"/>
      <c r="Z32" s="76"/>
      <c r="AA32" s="76"/>
      <c r="AB32" s="75"/>
      <c r="AC32" s="75"/>
      <c r="AD32" s="75"/>
      <c r="AE32" s="75"/>
      <c r="AF32" s="75"/>
    </row>
    <row r="33" spans="2:32" x14ac:dyDescent="0.2">
      <c r="B33" s="76"/>
      <c r="C33" s="76"/>
      <c r="D33" s="76"/>
      <c r="E33" s="76"/>
      <c r="F33" s="76"/>
      <c r="G33" s="76"/>
      <c r="H33" s="76"/>
      <c r="I33" s="76"/>
      <c r="J33" s="76"/>
      <c r="K33" s="76"/>
      <c r="L33" s="75"/>
      <c r="M33" s="75"/>
      <c r="N33" s="76"/>
      <c r="O33" s="75"/>
      <c r="P33" s="76"/>
      <c r="Q33" s="76"/>
      <c r="R33" s="76"/>
      <c r="S33" s="76"/>
      <c r="T33" s="76"/>
      <c r="U33" s="76"/>
      <c r="V33" s="75"/>
      <c r="W33" s="75"/>
      <c r="X33" s="75"/>
      <c r="Y33" s="76"/>
      <c r="Z33" s="76"/>
      <c r="AA33" s="76"/>
      <c r="AB33" s="75"/>
      <c r="AC33" s="75"/>
      <c r="AD33" s="75"/>
      <c r="AE33" s="75"/>
      <c r="AF33" s="75"/>
    </row>
    <row r="34" spans="2:32" x14ac:dyDescent="0.2">
      <c r="B34" s="76"/>
      <c r="C34" s="76"/>
      <c r="D34" s="76"/>
      <c r="E34" s="76"/>
      <c r="F34" s="76"/>
      <c r="G34" s="76"/>
      <c r="H34" s="76"/>
      <c r="I34" s="76"/>
      <c r="J34" s="76"/>
      <c r="K34" s="76"/>
      <c r="L34" s="75"/>
      <c r="M34" s="75"/>
      <c r="N34" s="76"/>
      <c r="O34" s="75"/>
      <c r="P34" s="76"/>
      <c r="Q34" s="76"/>
      <c r="R34" s="76"/>
      <c r="S34" s="76"/>
      <c r="T34" s="76"/>
      <c r="U34" s="76"/>
      <c r="V34" s="75"/>
      <c r="W34" s="75"/>
      <c r="X34" s="75"/>
      <c r="Y34" s="76"/>
      <c r="Z34" s="76"/>
      <c r="AA34" s="76"/>
      <c r="AB34" s="75"/>
      <c r="AC34" s="75"/>
      <c r="AD34" s="75"/>
      <c r="AE34" s="75"/>
      <c r="AF34" s="75"/>
    </row>
    <row r="35" spans="2:32" x14ac:dyDescent="0.2">
      <c r="B35" s="76"/>
      <c r="C35" s="76"/>
      <c r="D35" s="76"/>
      <c r="E35" s="76"/>
      <c r="F35" s="76"/>
      <c r="G35" s="76"/>
      <c r="H35" s="76"/>
      <c r="I35" s="76"/>
      <c r="J35" s="76"/>
      <c r="K35" s="76"/>
      <c r="L35" s="75"/>
      <c r="M35" s="75"/>
      <c r="N35" s="76"/>
      <c r="O35" s="75"/>
      <c r="P35" s="76"/>
      <c r="Q35" s="76"/>
      <c r="R35" s="76"/>
      <c r="S35" s="76"/>
      <c r="T35" s="76"/>
      <c r="U35" s="76"/>
      <c r="V35" s="75"/>
      <c r="W35" s="75"/>
      <c r="X35" s="75"/>
      <c r="Y35" s="76"/>
      <c r="Z35" s="76"/>
      <c r="AA35" s="76"/>
      <c r="AB35" s="75"/>
      <c r="AC35" s="75"/>
      <c r="AD35" s="75"/>
      <c r="AE35" s="75"/>
      <c r="AF35" s="75"/>
    </row>
    <row r="36" spans="2:32" x14ac:dyDescent="0.2">
      <c r="B36" s="76"/>
      <c r="C36" s="76"/>
      <c r="D36" s="76"/>
      <c r="E36" s="76"/>
      <c r="F36" s="76"/>
      <c r="G36" s="76"/>
      <c r="H36" s="76"/>
      <c r="I36" s="76"/>
      <c r="J36" s="76"/>
      <c r="K36" s="76"/>
      <c r="L36" s="75"/>
      <c r="M36" s="75"/>
      <c r="N36" s="76"/>
      <c r="O36" s="75"/>
      <c r="P36" s="76"/>
      <c r="Q36" s="76"/>
      <c r="R36" s="76"/>
      <c r="S36" s="76"/>
      <c r="T36" s="76"/>
      <c r="U36" s="76"/>
      <c r="V36" s="75"/>
      <c r="W36" s="75"/>
      <c r="X36" s="75"/>
      <c r="Y36" s="76"/>
      <c r="Z36" s="76"/>
      <c r="AA36" s="76"/>
      <c r="AB36" s="75"/>
      <c r="AC36" s="75"/>
      <c r="AD36" s="75"/>
      <c r="AE36" s="75"/>
      <c r="AF36" s="75"/>
    </row>
    <row r="37" spans="2:32" x14ac:dyDescent="0.2">
      <c r="B37" s="76"/>
      <c r="C37" s="76"/>
      <c r="D37" s="76"/>
      <c r="E37" s="76"/>
      <c r="F37" s="76"/>
      <c r="G37" s="76"/>
      <c r="H37" s="76"/>
      <c r="I37" s="76"/>
      <c r="J37" s="76"/>
      <c r="K37" s="76"/>
      <c r="L37" s="75"/>
      <c r="M37" s="75"/>
      <c r="N37" s="76"/>
      <c r="O37" s="75"/>
      <c r="P37" s="76"/>
      <c r="Q37" s="76"/>
      <c r="R37" s="76"/>
      <c r="S37" s="76"/>
      <c r="T37" s="76"/>
      <c r="U37" s="76"/>
      <c r="V37" s="75"/>
      <c r="W37" s="75"/>
      <c r="X37" s="75"/>
      <c r="Y37" s="76"/>
      <c r="Z37" s="76"/>
      <c r="AA37" s="76"/>
      <c r="AB37" s="75"/>
      <c r="AC37" s="75"/>
      <c r="AD37" s="75"/>
      <c r="AE37" s="75"/>
      <c r="AF37" s="75"/>
    </row>
    <row r="38" spans="2:32" x14ac:dyDescent="0.2">
      <c r="B38" s="76"/>
      <c r="C38" s="76"/>
      <c r="D38" s="76"/>
      <c r="E38" s="76"/>
      <c r="F38" s="76"/>
      <c r="G38" s="76"/>
      <c r="H38" s="76"/>
      <c r="I38" s="76"/>
      <c r="J38" s="76"/>
      <c r="K38" s="76"/>
      <c r="L38" s="75"/>
      <c r="M38" s="75"/>
      <c r="N38" s="76"/>
      <c r="O38" s="75"/>
      <c r="P38" s="76"/>
      <c r="Q38" s="76"/>
      <c r="R38" s="76"/>
      <c r="S38" s="76"/>
      <c r="T38" s="76"/>
      <c r="U38" s="76"/>
      <c r="V38" s="75"/>
      <c r="W38" s="75"/>
      <c r="X38" s="75"/>
      <c r="Y38" s="76"/>
      <c r="Z38" s="76"/>
      <c r="AA38" s="76"/>
      <c r="AB38" s="75"/>
      <c r="AC38" s="75"/>
      <c r="AD38" s="75"/>
      <c r="AE38" s="75"/>
      <c r="AF38" s="75"/>
    </row>
    <row r="39" spans="2:32" x14ac:dyDescent="0.2">
      <c r="B39" s="76"/>
      <c r="C39" s="76"/>
      <c r="D39" s="76"/>
      <c r="E39" s="76"/>
      <c r="F39" s="76"/>
      <c r="G39" s="76"/>
      <c r="H39" s="76"/>
      <c r="I39" s="76"/>
      <c r="J39" s="76"/>
      <c r="K39" s="76"/>
      <c r="L39" s="75"/>
      <c r="M39" s="75"/>
      <c r="N39" s="76"/>
      <c r="O39" s="75"/>
      <c r="P39" s="76"/>
      <c r="Q39" s="76"/>
      <c r="R39" s="76"/>
      <c r="S39" s="76"/>
      <c r="T39" s="76"/>
      <c r="U39" s="76"/>
      <c r="V39" s="75"/>
      <c r="W39" s="75"/>
      <c r="X39" s="75"/>
      <c r="Y39" s="76"/>
      <c r="Z39" s="76"/>
      <c r="AA39" s="76"/>
      <c r="AB39" s="75"/>
      <c r="AC39" s="75"/>
      <c r="AD39" s="75"/>
      <c r="AE39" s="75"/>
      <c r="AF39" s="75"/>
    </row>
    <row r="40" spans="2:32" x14ac:dyDescent="0.2">
      <c r="B40" s="76"/>
      <c r="C40" s="76"/>
      <c r="D40" s="76"/>
      <c r="E40" s="76"/>
      <c r="F40" s="76"/>
      <c r="G40" s="76"/>
      <c r="H40" s="76"/>
      <c r="I40" s="76"/>
      <c r="J40" s="76"/>
      <c r="K40" s="76"/>
      <c r="L40" s="75"/>
      <c r="M40" s="75"/>
      <c r="N40" s="76"/>
      <c r="O40" s="75"/>
      <c r="P40" s="76"/>
      <c r="Q40" s="76"/>
      <c r="R40" s="76"/>
      <c r="S40" s="76"/>
      <c r="T40" s="76"/>
      <c r="U40" s="76"/>
      <c r="V40" s="75"/>
      <c r="W40" s="75"/>
      <c r="X40" s="75"/>
      <c r="Y40" s="76"/>
      <c r="Z40" s="76"/>
      <c r="AA40" s="76"/>
      <c r="AB40" s="75"/>
      <c r="AC40" s="75"/>
      <c r="AD40" s="75"/>
      <c r="AE40" s="75"/>
      <c r="AF40" s="75"/>
    </row>
    <row r="41" spans="2:32" x14ac:dyDescent="0.2">
      <c r="B41" s="76"/>
      <c r="C41" s="76"/>
      <c r="D41" s="76"/>
      <c r="E41" s="76"/>
      <c r="F41" s="76"/>
      <c r="G41" s="76"/>
      <c r="H41" s="76"/>
      <c r="I41" s="76"/>
      <c r="J41" s="76"/>
      <c r="K41" s="76"/>
      <c r="L41" s="75"/>
      <c r="M41" s="75"/>
      <c r="N41" s="76"/>
      <c r="O41" s="75"/>
      <c r="P41" s="76"/>
      <c r="Q41" s="76"/>
      <c r="R41" s="76"/>
      <c r="S41" s="76"/>
      <c r="T41" s="76"/>
      <c r="U41" s="76"/>
      <c r="V41" s="75"/>
      <c r="W41" s="75"/>
      <c r="X41" s="75"/>
      <c r="Y41" s="76"/>
      <c r="Z41" s="76"/>
      <c r="AA41" s="76"/>
      <c r="AB41" s="75"/>
      <c r="AC41" s="75"/>
      <c r="AD41" s="75"/>
      <c r="AE41" s="75"/>
      <c r="AF41" s="75"/>
    </row>
    <row r="42" spans="2:32" x14ac:dyDescent="0.2">
      <c r="B42" s="76"/>
      <c r="C42" s="76"/>
      <c r="D42" s="76"/>
      <c r="E42" s="76"/>
      <c r="F42" s="76"/>
      <c r="G42" s="76"/>
      <c r="H42" s="76"/>
      <c r="I42" s="76"/>
      <c r="J42" s="76"/>
      <c r="K42" s="76"/>
      <c r="L42" s="75"/>
      <c r="M42" s="75"/>
      <c r="N42" s="76"/>
      <c r="O42" s="75"/>
      <c r="P42" s="76"/>
      <c r="Q42" s="76"/>
      <c r="R42" s="76"/>
      <c r="S42" s="76"/>
      <c r="T42" s="76"/>
      <c r="U42" s="76"/>
      <c r="V42" s="75"/>
      <c r="W42" s="75"/>
      <c r="X42" s="75"/>
      <c r="Y42" s="76"/>
      <c r="Z42" s="76"/>
      <c r="AA42" s="76"/>
      <c r="AB42" s="75"/>
      <c r="AC42" s="75"/>
      <c r="AD42" s="75"/>
      <c r="AE42" s="75"/>
      <c r="AF42" s="75"/>
    </row>
    <row r="43" spans="2:32" x14ac:dyDescent="0.2">
      <c r="B43" s="76"/>
      <c r="C43" s="76"/>
      <c r="D43" s="76"/>
      <c r="E43" s="76"/>
      <c r="F43" s="76"/>
      <c r="G43" s="76"/>
      <c r="H43" s="76"/>
      <c r="I43" s="76"/>
      <c r="J43" s="76"/>
      <c r="K43" s="76"/>
      <c r="L43" s="75"/>
      <c r="M43" s="75"/>
      <c r="N43" s="76"/>
      <c r="O43" s="75"/>
      <c r="P43" s="76"/>
      <c r="Q43" s="76"/>
      <c r="R43" s="76"/>
      <c r="S43" s="76"/>
      <c r="T43" s="76"/>
      <c r="U43" s="76"/>
      <c r="V43" s="75"/>
      <c r="W43" s="75"/>
      <c r="X43" s="75"/>
      <c r="Y43" s="76"/>
      <c r="Z43" s="76"/>
      <c r="AA43" s="76"/>
      <c r="AB43" s="75"/>
      <c r="AC43" s="75"/>
      <c r="AD43" s="75"/>
      <c r="AE43" s="75"/>
      <c r="AF43" s="75"/>
    </row>
    <row r="44" spans="2:32" x14ac:dyDescent="0.2">
      <c r="B44" s="76"/>
      <c r="C44" s="76"/>
      <c r="D44" s="76"/>
      <c r="E44" s="76"/>
      <c r="F44" s="76"/>
      <c r="G44" s="76"/>
      <c r="H44" s="76"/>
      <c r="I44" s="76"/>
      <c r="J44" s="76"/>
      <c r="K44" s="76"/>
      <c r="L44" s="75"/>
      <c r="M44" s="75"/>
      <c r="N44" s="76"/>
      <c r="O44" s="75"/>
      <c r="P44" s="76"/>
      <c r="Q44" s="76"/>
      <c r="R44" s="76"/>
      <c r="S44" s="76"/>
      <c r="T44" s="76"/>
      <c r="U44" s="76"/>
      <c r="V44" s="75"/>
      <c r="W44" s="75"/>
      <c r="X44" s="75"/>
      <c r="Y44" s="76"/>
      <c r="Z44" s="76"/>
      <c r="AA44" s="76"/>
      <c r="AB44" s="75"/>
      <c r="AC44" s="75"/>
      <c r="AD44" s="75"/>
      <c r="AE44" s="75"/>
      <c r="AF44" s="75"/>
    </row>
    <row r="45" spans="2:32" x14ac:dyDescent="0.2">
      <c r="B45" s="76"/>
      <c r="C45" s="76"/>
      <c r="D45" s="76"/>
      <c r="E45" s="76"/>
      <c r="F45" s="76"/>
      <c r="G45" s="76"/>
      <c r="H45" s="76"/>
      <c r="I45" s="76"/>
      <c r="J45" s="76"/>
      <c r="K45" s="76"/>
      <c r="L45" s="75"/>
      <c r="M45" s="75"/>
      <c r="N45" s="76"/>
      <c r="O45" s="75"/>
      <c r="P45" s="76"/>
      <c r="Q45" s="76"/>
      <c r="R45" s="76"/>
      <c r="S45" s="76"/>
      <c r="T45" s="76"/>
      <c r="U45" s="76"/>
      <c r="V45" s="75"/>
      <c r="W45" s="75"/>
      <c r="X45" s="75"/>
      <c r="Y45" s="76"/>
      <c r="Z45" s="76"/>
      <c r="AA45" s="76"/>
      <c r="AB45" s="75"/>
      <c r="AC45" s="75"/>
      <c r="AD45" s="75"/>
      <c r="AE45" s="75"/>
      <c r="AF45" s="75"/>
    </row>
    <row r="46" spans="2:32" x14ac:dyDescent="0.2">
      <c r="B46" s="76"/>
      <c r="C46" s="76"/>
      <c r="D46" s="76"/>
      <c r="E46" s="76"/>
      <c r="F46" s="76"/>
      <c r="G46" s="76"/>
      <c r="H46" s="76"/>
      <c r="I46" s="76"/>
      <c r="J46" s="76"/>
      <c r="K46" s="76"/>
      <c r="L46" s="75"/>
      <c r="M46" s="75"/>
      <c r="N46" s="76"/>
      <c r="O46" s="75"/>
      <c r="P46" s="76"/>
      <c r="Q46" s="76"/>
      <c r="R46" s="76"/>
      <c r="S46" s="76"/>
      <c r="T46" s="76"/>
      <c r="U46" s="76"/>
      <c r="V46" s="75"/>
      <c r="W46" s="75"/>
      <c r="X46" s="75"/>
      <c r="Y46" s="76"/>
      <c r="Z46" s="76"/>
      <c r="AA46" s="76"/>
      <c r="AB46" s="75"/>
      <c r="AC46" s="75"/>
      <c r="AD46" s="75"/>
      <c r="AE46" s="75"/>
      <c r="AF46" s="75"/>
    </row>
    <row r="47" spans="2:32" x14ac:dyDescent="0.2">
      <c r="B47" s="76"/>
      <c r="C47" s="76"/>
      <c r="D47" s="76"/>
      <c r="E47" s="76"/>
      <c r="F47" s="76"/>
      <c r="G47" s="76"/>
      <c r="H47" s="76"/>
      <c r="I47" s="76"/>
      <c r="J47" s="76"/>
      <c r="K47" s="76"/>
      <c r="L47" s="75"/>
      <c r="M47" s="75"/>
      <c r="N47" s="76"/>
      <c r="O47" s="75"/>
      <c r="P47" s="76"/>
      <c r="Q47" s="76"/>
      <c r="R47" s="76"/>
      <c r="S47" s="76"/>
      <c r="T47" s="76"/>
      <c r="U47" s="76"/>
      <c r="V47" s="75"/>
      <c r="W47" s="75"/>
      <c r="X47" s="75"/>
      <c r="Y47" s="76"/>
      <c r="Z47" s="76"/>
      <c r="AA47" s="76"/>
      <c r="AB47" s="75"/>
      <c r="AC47" s="75"/>
      <c r="AD47" s="75"/>
      <c r="AE47" s="75"/>
      <c r="AF47" s="75"/>
    </row>
    <row r="48" spans="2:32" x14ac:dyDescent="0.2">
      <c r="B48" s="76"/>
      <c r="C48" s="76"/>
      <c r="D48" s="76"/>
      <c r="E48" s="76"/>
      <c r="F48" s="76"/>
      <c r="G48" s="76"/>
      <c r="H48" s="76"/>
      <c r="I48" s="76"/>
      <c r="J48" s="76"/>
      <c r="K48" s="76"/>
      <c r="L48" s="75"/>
      <c r="M48" s="75"/>
      <c r="N48" s="76"/>
      <c r="O48" s="75"/>
      <c r="P48" s="76"/>
      <c r="Q48" s="76"/>
      <c r="R48" s="76"/>
      <c r="S48" s="76"/>
      <c r="T48" s="76"/>
      <c r="U48" s="76"/>
      <c r="V48" s="75"/>
      <c r="W48" s="75"/>
      <c r="X48" s="75"/>
      <c r="Y48" s="76"/>
      <c r="Z48" s="76"/>
      <c r="AA48" s="76"/>
      <c r="AB48" s="75"/>
      <c r="AC48" s="75"/>
      <c r="AD48" s="75"/>
      <c r="AE48" s="75"/>
      <c r="AF48" s="75"/>
    </row>
    <row r="49" spans="2:32" x14ac:dyDescent="0.2">
      <c r="B49" s="76"/>
      <c r="C49" s="76"/>
      <c r="D49" s="76"/>
      <c r="E49" s="76"/>
      <c r="F49" s="76"/>
      <c r="G49" s="76"/>
      <c r="H49" s="76"/>
      <c r="I49" s="76"/>
      <c r="J49" s="76"/>
      <c r="K49" s="76"/>
      <c r="L49" s="75"/>
      <c r="M49" s="75"/>
      <c r="N49" s="76"/>
      <c r="O49" s="75"/>
      <c r="P49" s="76"/>
      <c r="Q49" s="76"/>
      <c r="R49" s="76"/>
      <c r="S49" s="76"/>
      <c r="T49" s="76"/>
      <c r="U49" s="76"/>
      <c r="V49" s="75"/>
      <c r="W49" s="75"/>
      <c r="X49" s="75"/>
      <c r="Y49" s="76"/>
      <c r="Z49" s="76"/>
      <c r="AA49" s="76"/>
      <c r="AB49" s="75"/>
      <c r="AC49" s="75"/>
      <c r="AD49" s="75"/>
      <c r="AE49" s="75"/>
      <c r="AF49" s="75"/>
    </row>
    <row r="50" spans="2:32" x14ac:dyDescent="0.2">
      <c r="B50" s="76"/>
      <c r="C50" s="76"/>
      <c r="D50" s="76"/>
      <c r="E50" s="76"/>
      <c r="F50" s="76"/>
      <c r="G50" s="76"/>
      <c r="H50" s="76"/>
      <c r="I50" s="76"/>
      <c r="J50" s="76"/>
      <c r="K50" s="76"/>
      <c r="L50" s="75"/>
      <c r="M50" s="75"/>
      <c r="N50" s="76"/>
      <c r="O50" s="75"/>
      <c r="P50" s="76"/>
      <c r="Q50" s="76"/>
      <c r="R50" s="76"/>
      <c r="S50" s="76"/>
      <c r="T50" s="76"/>
      <c r="U50" s="76"/>
      <c r="V50" s="75"/>
      <c r="W50" s="75"/>
      <c r="X50" s="75"/>
      <c r="Y50" s="76"/>
      <c r="Z50" s="76"/>
      <c r="AA50" s="76"/>
      <c r="AB50" s="75"/>
      <c r="AC50" s="75"/>
      <c r="AD50" s="75"/>
      <c r="AE50" s="75"/>
      <c r="AF50" s="75"/>
    </row>
    <row r="51" spans="2:32" x14ac:dyDescent="0.2">
      <c r="B51" s="76"/>
      <c r="C51" s="76"/>
      <c r="D51" s="76"/>
      <c r="E51" s="76"/>
      <c r="F51" s="76"/>
      <c r="G51" s="76"/>
      <c r="H51" s="76"/>
      <c r="I51" s="76"/>
      <c r="J51" s="76"/>
      <c r="K51" s="76"/>
      <c r="L51" s="75"/>
      <c r="M51" s="75"/>
      <c r="N51" s="76"/>
      <c r="O51" s="75"/>
      <c r="P51" s="76"/>
      <c r="Q51" s="76"/>
      <c r="R51" s="76"/>
      <c r="S51" s="76"/>
      <c r="T51" s="76"/>
      <c r="U51" s="76"/>
      <c r="V51" s="75"/>
      <c r="W51" s="75"/>
      <c r="X51" s="75"/>
      <c r="Y51" s="76"/>
      <c r="Z51" s="76"/>
      <c r="AA51" s="76"/>
      <c r="AB51" s="75"/>
      <c r="AC51" s="75"/>
      <c r="AD51" s="75"/>
      <c r="AE51" s="75"/>
      <c r="AF51" s="75"/>
    </row>
    <row r="52" spans="2:32" x14ac:dyDescent="0.2">
      <c r="B52" s="76"/>
      <c r="C52" s="76"/>
      <c r="D52" s="76"/>
      <c r="E52" s="76"/>
      <c r="F52" s="76"/>
      <c r="G52" s="76"/>
      <c r="H52" s="76"/>
      <c r="I52" s="76"/>
      <c r="J52" s="76"/>
      <c r="K52" s="76"/>
      <c r="L52" s="75"/>
      <c r="M52" s="75"/>
      <c r="N52" s="76"/>
      <c r="O52" s="75"/>
      <c r="P52" s="76"/>
      <c r="Q52" s="76"/>
      <c r="R52" s="76"/>
      <c r="S52" s="76"/>
      <c r="T52" s="76"/>
      <c r="U52" s="76"/>
      <c r="V52" s="75"/>
      <c r="W52" s="75"/>
      <c r="X52" s="75"/>
      <c r="Y52" s="76"/>
      <c r="Z52" s="76"/>
      <c r="AA52" s="76"/>
      <c r="AB52" s="75"/>
      <c r="AC52" s="75"/>
      <c r="AD52" s="75"/>
      <c r="AE52" s="75"/>
      <c r="AF52" s="75"/>
    </row>
    <row r="53" spans="2:32" x14ac:dyDescent="0.2">
      <c r="B53" s="76"/>
      <c r="C53" s="76"/>
      <c r="D53" s="76"/>
      <c r="E53" s="76"/>
      <c r="F53" s="76"/>
      <c r="G53" s="76"/>
      <c r="H53" s="76"/>
      <c r="I53" s="76"/>
      <c r="J53" s="76"/>
      <c r="K53" s="76"/>
      <c r="L53" s="75"/>
      <c r="M53" s="75"/>
      <c r="N53" s="76"/>
      <c r="O53" s="75"/>
      <c r="P53" s="76"/>
      <c r="Q53" s="76"/>
      <c r="R53" s="76"/>
      <c r="S53" s="76"/>
      <c r="T53" s="76"/>
      <c r="U53" s="76"/>
      <c r="V53" s="75"/>
      <c r="W53" s="75"/>
      <c r="X53" s="75"/>
      <c r="Y53" s="76"/>
      <c r="Z53" s="76"/>
      <c r="AA53" s="76"/>
      <c r="AB53" s="75"/>
      <c r="AC53" s="75"/>
      <c r="AD53" s="75"/>
      <c r="AE53" s="75"/>
      <c r="AF53" s="75"/>
    </row>
    <row r="54" spans="2:32" x14ac:dyDescent="0.2">
      <c r="B54" s="76"/>
      <c r="C54" s="76"/>
      <c r="D54" s="76"/>
      <c r="E54" s="76"/>
      <c r="F54" s="76"/>
      <c r="G54" s="76"/>
      <c r="H54" s="76"/>
      <c r="I54" s="76"/>
      <c r="J54" s="76"/>
      <c r="K54" s="76"/>
      <c r="L54" s="75"/>
      <c r="M54" s="75"/>
      <c r="N54" s="76"/>
      <c r="O54" s="75"/>
      <c r="P54" s="76"/>
      <c r="Q54" s="76"/>
      <c r="R54" s="76"/>
      <c r="S54" s="76"/>
      <c r="T54" s="76"/>
      <c r="U54" s="76"/>
      <c r="V54" s="75"/>
      <c r="W54" s="75"/>
      <c r="X54" s="75"/>
      <c r="Y54" s="76"/>
      <c r="Z54" s="76"/>
      <c r="AA54" s="76"/>
      <c r="AB54" s="75"/>
      <c r="AC54" s="75"/>
      <c r="AD54" s="75"/>
      <c r="AE54" s="75"/>
      <c r="AF54" s="75"/>
    </row>
    <row r="55" spans="2:32" x14ac:dyDescent="0.2">
      <c r="B55" s="76"/>
      <c r="C55" s="76"/>
      <c r="D55" s="76"/>
      <c r="E55" s="76"/>
      <c r="F55" s="76"/>
      <c r="G55" s="76"/>
      <c r="H55" s="76"/>
      <c r="I55" s="76"/>
      <c r="J55" s="76"/>
      <c r="K55" s="76"/>
      <c r="L55" s="75"/>
      <c r="M55" s="75"/>
      <c r="N55" s="76"/>
      <c r="O55" s="75"/>
      <c r="P55" s="76"/>
      <c r="Q55" s="76"/>
      <c r="R55" s="76"/>
      <c r="S55" s="76"/>
      <c r="T55" s="76"/>
      <c r="U55" s="76"/>
      <c r="V55" s="75"/>
      <c r="W55" s="75"/>
      <c r="X55" s="75"/>
      <c r="Y55" s="76"/>
      <c r="Z55" s="76"/>
      <c r="AA55" s="76"/>
      <c r="AB55" s="75"/>
      <c r="AC55" s="75"/>
      <c r="AD55" s="75"/>
      <c r="AE55" s="75"/>
      <c r="AF55" s="75"/>
    </row>
    <row r="56" spans="2:32" x14ac:dyDescent="0.2">
      <c r="B56" s="76"/>
      <c r="C56" s="76"/>
      <c r="D56" s="76"/>
      <c r="E56" s="76"/>
      <c r="F56" s="76"/>
      <c r="G56" s="76"/>
      <c r="H56" s="76"/>
      <c r="I56" s="76"/>
      <c r="J56" s="76"/>
      <c r="K56" s="76"/>
      <c r="L56" s="75"/>
      <c r="M56" s="75"/>
      <c r="N56" s="76"/>
      <c r="O56" s="75"/>
      <c r="P56" s="76"/>
      <c r="Q56" s="76"/>
      <c r="R56" s="76"/>
      <c r="S56" s="76"/>
      <c r="T56" s="76"/>
      <c r="U56" s="76"/>
      <c r="V56" s="75"/>
      <c r="W56" s="75"/>
      <c r="X56" s="75"/>
      <c r="Y56" s="76"/>
      <c r="Z56" s="76"/>
      <c r="AA56" s="76"/>
      <c r="AB56" s="75"/>
      <c r="AC56" s="75"/>
      <c r="AD56" s="75"/>
      <c r="AE56" s="75"/>
      <c r="AF56" s="75"/>
    </row>
    <row r="57" spans="2:32" x14ac:dyDescent="0.2">
      <c r="B57" s="76"/>
      <c r="C57" s="76"/>
      <c r="D57" s="76"/>
      <c r="E57" s="76"/>
      <c r="F57" s="76"/>
      <c r="G57" s="76"/>
      <c r="H57" s="76"/>
      <c r="I57" s="76"/>
      <c r="J57" s="76"/>
      <c r="K57" s="76"/>
      <c r="L57" s="75"/>
      <c r="M57" s="75"/>
      <c r="N57" s="76"/>
      <c r="O57" s="75"/>
      <c r="P57" s="76"/>
      <c r="Q57" s="76"/>
      <c r="R57" s="76"/>
      <c r="S57" s="76"/>
      <c r="T57" s="76"/>
      <c r="U57" s="76"/>
      <c r="V57" s="75"/>
      <c r="W57" s="75"/>
      <c r="X57" s="75"/>
      <c r="Y57" s="76"/>
      <c r="Z57" s="76"/>
      <c r="AA57" s="76"/>
      <c r="AB57" s="75"/>
      <c r="AC57" s="75"/>
      <c r="AD57" s="75"/>
      <c r="AE57" s="75"/>
      <c r="AF57" s="75"/>
    </row>
    <row r="58" spans="2:32" x14ac:dyDescent="0.2">
      <c r="B58" s="76"/>
      <c r="C58" s="76"/>
      <c r="D58" s="76"/>
      <c r="E58" s="76"/>
      <c r="F58" s="76"/>
      <c r="G58" s="76"/>
      <c r="H58" s="76"/>
      <c r="I58" s="76"/>
      <c r="J58" s="76"/>
      <c r="K58" s="76"/>
      <c r="L58" s="75"/>
      <c r="M58" s="75"/>
      <c r="N58" s="76"/>
      <c r="O58" s="75"/>
      <c r="P58" s="76"/>
      <c r="Q58" s="76"/>
      <c r="R58" s="76"/>
      <c r="S58" s="76"/>
      <c r="T58" s="76"/>
      <c r="U58" s="76"/>
      <c r="V58" s="75"/>
      <c r="W58" s="75"/>
      <c r="X58" s="75"/>
      <c r="Y58" s="76"/>
      <c r="Z58" s="76"/>
      <c r="AA58" s="76"/>
      <c r="AB58" s="75"/>
      <c r="AC58" s="75"/>
      <c r="AD58" s="75"/>
      <c r="AE58" s="75"/>
      <c r="AF58" s="75"/>
    </row>
    <row r="59" spans="2:32" x14ac:dyDescent="0.2">
      <c r="B59" s="76"/>
      <c r="C59" s="76"/>
      <c r="D59" s="76"/>
      <c r="E59" s="76"/>
      <c r="F59" s="76"/>
      <c r="G59" s="76"/>
      <c r="H59" s="76"/>
      <c r="I59" s="76"/>
      <c r="J59" s="76"/>
      <c r="K59" s="76"/>
      <c r="L59" s="75"/>
      <c r="M59" s="75"/>
      <c r="N59" s="76"/>
      <c r="O59" s="75"/>
      <c r="P59" s="76"/>
      <c r="Q59" s="76"/>
      <c r="R59" s="76"/>
      <c r="S59" s="76"/>
      <c r="T59" s="76"/>
      <c r="U59" s="76"/>
      <c r="V59" s="75"/>
      <c r="W59" s="75"/>
      <c r="X59" s="75"/>
      <c r="Y59" s="76"/>
      <c r="Z59" s="76"/>
      <c r="AA59" s="76"/>
      <c r="AB59" s="75"/>
      <c r="AC59" s="75"/>
      <c r="AD59" s="75"/>
      <c r="AE59" s="75"/>
      <c r="AF59" s="75"/>
    </row>
    <row r="60" spans="2:32" x14ac:dyDescent="0.2">
      <c r="B60" s="76"/>
      <c r="C60" s="76"/>
      <c r="D60" s="76"/>
      <c r="E60" s="76"/>
      <c r="F60" s="76"/>
      <c r="G60" s="76"/>
      <c r="H60" s="76"/>
      <c r="I60" s="76"/>
      <c r="J60" s="76"/>
      <c r="K60" s="76"/>
      <c r="L60" s="75"/>
      <c r="M60" s="75"/>
      <c r="N60" s="76"/>
      <c r="O60" s="75"/>
      <c r="P60" s="76"/>
      <c r="Q60" s="76"/>
      <c r="R60" s="76"/>
      <c r="S60" s="76"/>
      <c r="T60" s="76"/>
      <c r="U60" s="76"/>
      <c r="V60" s="75"/>
      <c r="W60" s="75"/>
      <c r="X60" s="75"/>
      <c r="Y60" s="76"/>
      <c r="Z60" s="76"/>
      <c r="AA60" s="76"/>
      <c r="AB60" s="75"/>
      <c r="AC60" s="75"/>
      <c r="AD60" s="75"/>
      <c r="AE60" s="75"/>
      <c r="AF60" s="75"/>
    </row>
    <row r="61" spans="2:32" x14ac:dyDescent="0.2">
      <c r="B61" s="76"/>
      <c r="C61" s="76"/>
      <c r="D61" s="76"/>
      <c r="E61" s="76"/>
      <c r="F61" s="76"/>
      <c r="G61" s="76"/>
      <c r="H61" s="76"/>
      <c r="I61" s="76"/>
      <c r="J61" s="76"/>
      <c r="K61" s="76"/>
      <c r="L61" s="75"/>
      <c r="M61" s="75"/>
      <c r="N61" s="76"/>
      <c r="O61" s="75"/>
      <c r="P61" s="76"/>
      <c r="Q61" s="76"/>
      <c r="R61" s="76"/>
      <c r="S61" s="76"/>
      <c r="T61" s="76"/>
      <c r="U61" s="76"/>
      <c r="V61" s="75"/>
      <c r="W61" s="75"/>
      <c r="X61" s="75"/>
      <c r="Y61" s="76"/>
      <c r="Z61" s="76"/>
      <c r="AA61" s="76"/>
      <c r="AB61" s="75"/>
      <c r="AC61" s="75"/>
      <c r="AD61" s="75"/>
      <c r="AE61" s="75"/>
      <c r="AF61" s="75"/>
    </row>
    <row r="62" spans="2:32" x14ac:dyDescent="0.2">
      <c r="B62" s="76"/>
      <c r="C62" s="76"/>
      <c r="D62" s="76"/>
      <c r="E62" s="76"/>
      <c r="F62" s="76"/>
      <c r="G62" s="76"/>
      <c r="H62" s="76"/>
      <c r="I62" s="76"/>
      <c r="J62" s="76"/>
      <c r="K62" s="76"/>
      <c r="L62" s="75"/>
      <c r="M62" s="75"/>
      <c r="N62" s="76"/>
      <c r="O62" s="75"/>
      <c r="P62" s="76"/>
      <c r="Q62" s="76"/>
      <c r="R62" s="76"/>
      <c r="S62" s="76"/>
      <c r="T62" s="76"/>
      <c r="U62" s="76"/>
      <c r="V62" s="75"/>
      <c r="W62" s="75"/>
      <c r="X62" s="75"/>
      <c r="Y62" s="76"/>
      <c r="Z62" s="76"/>
      <c r="AA62" s="76"/>
      <c r="AB62" s="75"/>
      <c r="AC62" s="75"/>
      <c r="AD62" s="75"/>
      <c r="AE62" s="75"/>
      <c r="AF62" s="75"/>
    </row>
    <row r="63" spans="2:32" x14ac:dyDescent="0.2">
      <c r="B63" s="76"/>
      <c r="C63" s="76"/>
      <c r="D63" s="76"/>
      <c r="E63" s="76"/>
      <c r="F63" s="76"/>
      <c r="G63" s="76"/>
      <c r="H63" s="76"/>
      <c r="I63" s="76"/>
      <c r="J63" s="76"/>
      <c r="K63" s="76"/>
      <c r="L63" s="75"/>
      <c r="M63" s="75"/>
      <c r="N63" s="76"/>
      <c r="O63" s="75"/>
      <c r="P63" s="76"/>
      <c r="Q63" s="76"/>
      <c r="R63" s="76"/>
      <c r="S63" s="76"/>
      <c r="T63" s="76"/>
      <c r="U63" s="76"/>
      <c r="V63" s="75"/>
      <c r="W63" s="75"/>
      <c r="X63" s="75"/>
      <c r="Y63" s="76"/>
      <c r="Z63" s="76"/>
      <c r="AA63" s="76"/>
      <c r="AB63" s="75"/>
      <c r="AC63" s="75"/>
      <c r="AD63" s="75"/>
      <c r="AE63" s="75"/>
      <c r="AF63" s="75"/>
    </row>
    <row r="64" spans="2:32" x14ac:dyDescent="0.2">
      <c r="B64" s="76"/>
      <c r="C64" s="76"/>
      <c r="D64" s="76"/>
      <c r="E64" s="76"/>
      <c r="F64" s="76"/>
      <c r="G64" s="76"/>
      <c r="H64" s="76"/>
      <c r="I64" s="76"/>
      <c r="J64" s="76"/>
      <c r="K64" s="76"/>
      <c r="L64" s="75"/>
      <c r="M64" s="75"/>
      <c r="N64" s="76"/>
      <c r="O64" s="75"/>
      <c r="P64" s="76"/>
      <c r="Q64" s="76"/>
      <c r="R64" s="76"/>
      <c r="S64" s="76"/>
      <c r="T64" s="76"/>
      <c r="U64" s="76"/>
      <c r="V64" s="75"/>
      <c r="W64" s="75"/>
      <c r="X64" s="75"/>
      <c r="Y64" s="76"/>
      <c r="Z64" s="76"/>
      <c r="AA64" s="76"/>
      <c r="AB64" s="75"/>
      <c r="AC64" s="75"/>
      <c r="AD64" s="75"/>
      <c r="AE64" s="75"/>
      <c r="AF64" s="75"/>
    </row>
    <row r="65" spans="2:32" x14ac:dyDescent="0.2">
      <c r="B65" s="76"/>
      <c r="C65" s="76"/>
      <c r="D65" s="76"/>
      <c r="E65" s="76"/>
      <c r="F65" s="76"/>
      <c r="G65" s="76"/>
      <c r="H65" s="76"/>
      <c r="I65" s="76"/>
      <c r="J65" s="76"/>
      <c r="K65" s="76"/>
      <c r="L65" s="75"/>
      <c r="M65" s="75"/>
      <c r="N65" s="76"/>
      <c r="O65" s="75"/>
      <c r="P65" s="76"/>
      <c r="Q65" s="76"/>
      <c r="R65" s="76"/>
      <c r="S65" s="76"/>
      <c r="T65" s="76"/>
      <c r="U65" s="76"/>
      <c r="V65" s="75"/>
      <c r="W65" s="75"/>
      <c r="X65" s="75"/>
      <c r="Y65" s="76"/>
      <c r="Z65" s="76"/>
      <c r="AA65" s="76"/>
      <c r="AB65" s="75"/>
      <c r="AC65" s="75"/>
      <c r="AD65" s="75"/>
      <c r="AE65" s="75"/>
      <c r="AF65" s="75"/>
    </row>
    <row r="66" spans="2:32" x14ac:dyDescent="0.2">
      <c r="B66" s="76"/>
      <c r="C66" s="76"/>
      <c r="D66" s="76"/>
      <c r="E66" s="76"/>
      <c r="F66" s="76"/>
      <c r="G66" s="76"/>
      <c r="H66" s="76"/>
      <c r="I66" s="76"/>
      <c r="J66" s="76"/>
      <c r="K66" s="76"/>
      <c r="L66" s="75"/>
      <c r="M66" s="75"/>
      <c r="N66" s="76"/>
      <c r="O66" s="75"/>
      <c r="P66" s="76"/>
      <c r="Q66" s="76"/>
      <c r="R66" s="76"/>
      <c r="S66" s="76"/>
      <c r="T66" s="76"/>
      <c r="U66" s="76"/>
      <c r="V66" s="75"/>
      <c r="W66" s="75"/>
      <c r="X66" s="75"/>
      <c r="Y66" s="76"/>
      <c r="Z66" s="76"/>
      <c r="AA66" s="76"/>
      <c r="AB66" s="75"/>
      <c r="AC66" s="75"/>
      <c r="AD66" s="75"/>
      <c r="AE66" s="75"/>
      <c r="AF66" s="75"/>
    </row>
    <row r="67" spans="2:32" x14ac:dyDescent="0.2">
      <c r="B67" s="76"/>
      <c r="C67" s="76"/>
      <c r="D67" s="76"/>
      <c r="E67" s="76"/>
      <c r="F67" s="76"/>
      <c r="G67" s="76"/>
      <c r="H67" s="76"/>
      <c r="I67" s="76"/>
      <c r="J67" s="76"/>
      <c r="K67" s="76"/>
      <c r="L67" s="75"/>
      <c r="M67" s="75"/>
      <c r="N67" s="76"/>
      <c r="O67" s="75"/>
      <c r="P67" s="76"/>
      <c r="Q67" s="76"/>
      <c r="R67" s="76"/>
      <c r="S67" s="76"/>
      <c r="T67" s="76"/>
      <c r="U67" s="76"/>
      <c r="V67" s="75"/>
      <c r="W67" s="75"/>
      <c r="X67" s="75"/>
      <c r="Y67" s="76"/>
      <c r="Z67" s="76"/>
      <c r="AA67" s="76"/>
      <c r="AB67" s="75"/>
      <c r="AC67" s="75"/>
      <c r="AD67" s="75"/>
      <c r="AE67" s="75"/>
      <c r="AF67" s="75"/>
    </row>
    <row r="68" spans="2:32" x14ac:dyDescent="0.2">
      <c r="B68" s="76"/>
      <c r="C68" s="76"/>
      <c r="D68" s="76"/>
      <c r="E68" s="76"/>
      <c r="F68" s="76"/>
      <c r="G68" s="76"/>
      <c r="H68" s="76"/>
      <c r="I68" s="76"/>
      <c r="J68" s="76"/>
      <c r="K68" s="76"/>
      <c r="L68" s="75"/>
      <c r="M68" s="75"/>
      <c r="N68" s="76"/>
      <c r="O68" s="75"/>
      <c r="P68" s="76"/>
      <c r="Q68" s="76"/>
      <c r="R68" s="76"/>
      <c r="S68" s="76"/>
      <c r="T68" s="76"/>
      <c r="U68" s="76"/>
      <c r="V68" s="75"/>
      <c r="W68" s="75"/>
      <c r="X68" s="75"/>
      <c r="Y68" s="76"/>
      <c r="Z68" s="76"/>
      <c r="AA68" s="76"/>
      <c r="AB68" s="75"/>
      <c r="AC68" s="75"/>
      <c r="AD68" s="75"/>
      <c r="AE68" s="75"/>
      <c r="AF68" s="75"/>
    </row>
    <row r="69" spans="2:32" x14ac:dyDescent="0.2">
      <c r="B69" s="76"/>
      <c r="C69" s="76"/>
      <c r="D69" s="76"/>
      <c r="E69" s="76"/>
      <c r="F69" s="76"/>
      <c r="G69" s="76"/>
      <c r="H69" s="76"/>
      <c r="I69" s="76"/>
      <c r="J69" s="76"/>
      <c r="K69" s="76"/>
      <c r="L69" s="75"/>
      <c r="M69" s="75"/>
      <c r="N69" s="76"/>
      <c r="O69" s="75"/>
      <c r="P69" s="76"/>
      <c r="Q69" s="76"/>
      <c r="R69" s="76"/>
      <c r="S69" s="76"/>
      <c r="T69" s="76"/>
      <c r="U69" s="76"/>
      <c r="V69" s="75"/>
      <c r="W69" s="75"/>
      <c r="X69" s="75"/>
      <c r="Y69" s="76"/>
      <c r="Z69" s="76"/>
      <c r="AA69" s="76"/>
      <c r="AB69" s="75"/>
      <c r="AC69" s="75"/>
      <c r="AD69" s="75"/>
      <c r="AE69" s="75"/>
      <c r="AF69" s="75"/>
    </row>
    <row r="70" spans="2:32" x14ac:dyDescent="0.2">
      <c r="B70" s="76"/>
      <c r="C70" s="76"/>
      <c r="D70" s="76"/>
      <c r="E70" s="76"/>
      <c r="F70" s="76"/>
      <c r="G70" s="76"/>
      <c r="H70" s="76"/>
      <c r="I70" s="76"/>
      <c r="J70" s="76"/>
      <c r="K70" s="76"/>
      <c r="L70" s="75"/>
      <c r="M70" s="75"/>
      <c r="N70" s="76"/>
      <c r="O70" s="75"/>
      <c r="P70" s="76"/>
      <c r="Q70" s="76"/>
      <c r="R70" s="76"/>
      <c r="S70" s="76"/>
      <c r="T70" s="76"/>
      <c r="U70" s="76"/>
      <c r="V70" s="75"/>
      <c r="W70" s="75"/>
      <c r="X70" s="75"/>
      <c r="Y70" s="76"/>
      <c r="Z70" s="76"/>
      <c r="AA70" s="76"/>
      <c r="AB70" s="75"/>
      <c r="AC70" s="75"/>
      <c r="AD70" s="75"/>
      <c r="AE70" s="75"/>
      <c r="AF70" s="75"/>
    </row>
    <row r="71" spans="2:32" x14ac:dyDescent="0.2">
      <c r="B71" s="76"/>
      <c r="C71" s="76"/>
      <c r="D71" s="76"/>
      <c r="E71" s="76"/>
      <c r="F71" s="76"/>
      <c r="G71" s="76"/>
      <c r="H71" s="76"/>
      <c r="I71" s="76"/>
      <c r="J71" s="76"/>
      <c r="K71" s="76"/>
      <c r="L71" s="75"/>
      <c r="M71" s="75"/>
      <c r="N71" s="76"/>
      <c r="O71" s="75"/>
      <c r="P71" s="76"/>
      <c r="Q71" s="76"/>
      <c r="R71" s="76"/>
      <c r="S71" s="76"/>
      <c r="T71" s="76"/>
      <c r="U71" s="76"/>
      <c r="V71" s="75"/>
      <c r="W71" s="75"/>
      <c r="X71" s="75"/>
      <c r="Y71" s="76"/>
      <c r="Z71" s="76"/>
      <c r="AA71" s="76"/>
      <c r="AB71" s="75"/>
      <c r="AC71" s="75"/>
      <c r="AD71" s="75"/>
      <c r="AE71" s="75"/>
      <c r="AF71" s="75"/>
    </row>
    <row r="72" spans="2:32" x14ac:dyDescent="0.2">
      <c r="B72" s="76"/>
      <c r="C72" s="76"/>
      <c r="D72" s="76"/>
      <c r="E72" s="76"/>
      <c r="F72" s="76"/>
      <c r="G72" s="76"/>
      <c r="H72" s="76"/>
      <c r="I72" s="76"/>
      <c r="J72" s="76"/>
      <c r="K72" s="76"/>
      <c r="L72" s="75"/>
      <c r="M72" s="75"/>
      <c r="N72" s="76"/>
      <c r="O72" s="75"/>
      <c r="P72" s="76"/>
      <c r="Q72" s="76"/>
      <c r="R72" s="76"/>
      <c r="S72" s="76"/>
      <c r="T72" s="76"/>
      <c r="U72" s="76"/>
      <c r="V72" s="75"/>
      <c r="W72" s="75"/>
      <c r="X72" s="75"/>
      <c r="Y72" s="76"/>
      <c r="Z72" s="76"/>
      <c r="AA72" s="76"/>
      <c r="AB72" s="75"/>
      <c r="AC72" s="75"/>
      <c r="AD72" s="75"/>
      <c r="AE72" s="75"/>
      <c r="AF72" s="75"/>
    </row>
    <row r="73" spans="2:32" x14ac:dyDescent="0.2">
      <c r="B73" s="76"/>
      <c r="C73" s="76"/>
      <c r="D73" s="76"/>
      <c r="E73" s="76"/>
      <c r="F73" s="76"/>
      <c r="G73" s="76"/>
      <c r="H73" s="76"/>
      <c r="I73" s="76"/>
      <c r="J73" s="76"/>
      <c r="K73" s="76"/>
      <c r="L73" s="75"/>
      <c r="M73" s="75"/>
      <c r="N73" s="76"/>
      <c r="O73" s="75"/>
      <c r="P73" s="76"/>
      <c r="Q73" s="76"/>
      <c r="R73" s="76"/>
      <c r="S73" s="76"/>
      <c r="T73" s="76"/>
      <c r="U73" s="76"/>
      <c r="V73" s="75"/>
      <c r="W73" s="75"/>
      <c r="X73" s="75"/>
      <c r="Y73" s="76"/>
      <c r="Z73" s="76"/>
      <c r="AA73" s="76"/>
      <c r="AB73" s="75"/>
      <c r="AC73" s="75"/>
      <c r="AD73" s="75"/>
      <c r="AE73" s="75"/>
      <c r="AF73" s="75"/>
    </row>
    <row r="74" spans="2:32" x14ac:dyDescent="0.2">
      <c r="B74" s="76"/>
      <c r="C74" s="76"/>
      <c r="D74" s="76"/>
      <c r="E74" s="76"/>
      <c r="F74" s="76"/>
      <c r="G74" s="76"/>
      <c r="H74" s="76"/>
      <c r="I74" s="76"/>
      <c r="J74" s="76"/>
      <c r="K74" s="76"/>
      <c r="L74" s="75"/>
      <c r="M74" s="75"/>
      <c r="N74" s="76"/>
      <c r="O74" s="75"/>
      <c r="P74" s="76"/>
      <c r="Q74" s="76"/>
      <c r="R74" s="76"/>
      <c r="S74" s="76"/>
      <c r="T74" s="76"/>
      <c r="U74" s="76"/>
      <c r="V74" s="75"/>
      <c r="W74" s="75"/>
      <c r="X74" s="75"/>
      <c r="Y74" s="76"/>
      <c r="Z74" s="76"/>
      <c r="AA74" s="76"/>
      <c r="AB74" s="75"/>
      <c r="AC74" s="75"/>
      <c r="AD74" s="75"/>
      <c r="AE74" s="75"/>
      <c r="AF74" s="75"/>
    </row>
    <row r="75" spans="2:32" x14ac:dyDescent="0.2">
      <c r="B75" s="76"/>
      <c r="C75" s="76"/>
      <c r="D75" s="76"/>
      <c r="E75" s="76"/>
      <c r="F75" s="76"/>
      <c r="G75" s="76"/>
      <c r="H75" s="76"/>
      <c r="I75" s="76"/>
      <c r="J75" s="76"/>
      <c r="K75" s="76"/>
      <c r="L75" s="75"/>
      <c r="M75" s="75"/>
      <c r="N75" s="76"/>
      <c r="O75" s="75"/>
      <c r="P75" s="76"/>
      <c r="Q75" s="76"/>
      <c r="R75" s="76"/>
      <c r="S75" s="76"/>
      <c r="T75" s="76"/>
      <c r="U75" s="76"/>
      <c r="V75" s="75"/>
      <c r="W75" s="75"/>
      <c r="X75" s="75"/>
      <c r="Y75" s="76"/>
      <c r="Z75" s="76"/>
      <c r="AA75" s="76"/>
      <c r="AB75" s="75"/>
      <c r="AC75" s="75"/>
      <c r="AD75" s="75"/>
      <c r="AE75" s="75"/>
      <c r="AF75" s="75"/>
    </row>
    <row r="76" spans="2:32" x14ac:dyDescent="0.2">
      <c r="B76" s="76"/>
      <c r="C76" s="76"/>
      <c r="D76" s="76"/>
      <c r="E76" s="76"/>
      <c r="F76" s="76"/>
      <c r="G76" s="76"/>
      <c r="H76" s="76"/>
      <c r="I76" s="76"/>
      <c r="J76" s="76"/>
      <c r="K76" s="76"/>
      <c r="L76" s="75"/>
      <c r="M76" s="75"/>
      <c r="N76" s="76"/>
      <c r="O76" s="75"/>
      <c r="P76" s="76"/>
      <c r="Q76" s="76"/>
      <c r="R76" s="76"/>
      <c r="S76" s="76"/>
      <c r="T76" s="76"/>
      <c r="U76" s="76"/>
      <c r="V76" s="75"/>
      <c r="W76" s="75"/>
      <c r="X76" s="75"/>
      <c r="Y76" s="76"/>
      <c r="Z76" s="76"/>
      <c r="AA76" s="76"/>
      <c r="AB76" s="75"/>
      <c r="AC76" s="75"/>
      <c r="AD76" s="75"/>
      <c r="AE76" s="75"/>
      <c r="AF76" s="75"/>
    </row>
    <row r="77" spans="2:32" x14ac:dyDescent="0.2">
      <c r="B77" s="76"/>
      <c r="C77" s="76"/>
      <c r="D77" s="76"/>
      <c r="E77" s="76"/>
      <c r="F77" s="76"/>
      <c r="G77" s="76"/>
      <c r="H77" s="76"/>
      <c r="I77" s="76"/>
      <c r="J77" s="76"/>
      <c r="K77" s="76"/>
      <c r="L77" s="75"/>
      <c r="M77" s="75"/>
      <c r="N77" s="76"/>
      <c r="O77" s="75"/>
      <c r="P77" s="76"/>
      <c r="Q77" s="76"/>
      <c r="R77" s="76"/>
      <c r="S77" s="76"/>
      <c r="T77" s="76"/>
      <c r="U77" s="76"/>
      <c r="V77" s="75"/>
      <c r="W77" s="75"/>
      <c r="X77" s="75"/>
      <c r="Y77" s="76"/>
      <c r="Z77" s="76"/>
      <c r="AA77" s="76"/>
      <c r="AB77" s="75"/>
      <c r="AC77" s="75"/>
      <c r="AD77" s="75"/>
      <c r="AE77" s="75"/>
      <c r="AF77" s="75"/>
    </row>
    <row r="78" spans="2:32" x14ac:dyDescent="0.2">
      <c r="B78" s="76"/>
      <c r="C78" s="76"/>
      <c r="D78" s="76"/>
      <c r="E78" s="76"/>
      <c r="F78" s="76"/>
      <c r="G78" s="76"/>
      <c r="H78" s="76"/>
      <c r="I78" s="76"/>
      <c r="J78" s="76"/>
      <c r="K78" s="76"/>
      <c r="L78" s="75"/>
      <c r="M78" s="75"/>
      <c r="N78" s="76"/>
      <c r="O78" s="75"/>
      <c r="P78" s="76"/>
      <c r="Q78" s="76"/>
      <c r="R78" s="76"/>
      <c r="S78" s="76"/>
      <c r="T78" s="76"/>
      <c r="U78" s="76"/>
      <c r="V78" s="75"/>
      <c r="W78" s="75"/>
      <c r="X78" s="75"/>
      <c r="Y78" s="76"/>
      <c r="Z78" s="76"/>
      <c r="AA78" s="76"/>
      <c r="AB78" s="75"/>
      <c r="AC78" s="75"/>
      <c r="AD78" s="75"/>
      <c r="AE78" s="75"/>
      <c r="AF78" s="75"/>
    </row>
    <row r="79" spans="2:32" x14ac:dyDescent="0.2">
      <c r="B79" s="76"/>
      <c r="C79" s="76"/>
      <c r="D79" s="76"/>
      <c r="E79" s="76"/>
      <c r="F79" s="76"/>
      <c r="G79" s="76"/>
      <c r="H79" s="76"/>
      <c r="I79" s="76"/>
      <c r="J79" s="76"/>
      <c r="K79" s="76"/>
      <c r="L79" s="75"/>
      <c r="M79" s="75"/>
      <c r="N79" s="76"/>
      <c r="O79" s="75"/>
      <c r="P79" s="76"/>
      <c r="Q79" s="76"/>
      <c r="R79" s="76"/>
      <c r="S79" s="76"/>
      <c r="T79" s="76"/>
      <c r="U79" s="76"/>
      <c r="V79" s="75"/>
      <c r="W79" s="75"/>
      <c r="X79" s="75"/>
      <c r="Y79" s="76"/>
      <c r="Z79" s="76"/>
      <c r="AA79" s="76"/>
      <c r="AB79" s="75"/>
      <c r="AC79" s="75"/>
      <c r="AD79" s="75"/>
      <c r="AE79" s="75"/>
      <c r="AF79" s="75"/>
    </row>
    <row r="80" spans="2:32" x14ac:dyDescent="0.2">
      <c r="B80" s="76"/>
      <c r="C80" s="76"/>
      <c r="D80" s="76"/>
      <c r="E80" s="76"/>
      <c r="F80" s="76"/>
      <c r="G80" s="76"/>
      <c r="H80" s="76"/>
      <c r="I80" s="76"/>
      <c r="J80" s="76"/>
      <c r="K80" s="76"/>
      <c r="L80" s="75"/>
      <c r="M80" s="75"/>
      <c r="N80" s="76"/>
      <c r="O80" s="75"/>
      <c r="P80" s="76"/>
      <c r="Q80" s="76"/>
      <c r="R80" s="76"/>
      <c r="S80" s="76"/>
      <c r="T80" s="76"/>
      <c r="U80" s="76"/>
      <c r="V80" s="75"/>
      <c r="W80" s="75"/>
      <c r="X80" s="75"/>
      <c r="Y80" s="76"/>
      <c r="Z80" s="76"/>
      <c r="AA80" s="76"/>
      <c r="AB80" s="75"/>
      <c r="AC80" s="75"/>
      <c r="AD80" s="75"/>
      <c r="AE80" s="75"/>
      <c r="AF80" s="75"/>
    </row>
    <row r="81" spans="2:32" x14ac:dyDescent="0.2">
      <c r="B81" s="76"/>
      <c r="C81" s="76"/>
      <c r="D81" s="76"/>
      <c r="E81" s="76"/>
      <c r="F81" s="76"/>
      <c r="G81" s="76"/>
      <c r="H81" s="76"/>
      <c r="I81" s="76"/>
      <c r="J81" s="76"/>
      <c r="K81" s="76"/>
      <c r="L81" s="75"/>
      <c r="M81" s="75"/>
      <c r="N81" s="76"/>
      <c r="O81" s="75"/>
      <c r="P81" s="76"/>
      <c r="Q81" s="76"/>
      <c r="R81" s="76"/>
      <c r="S81" s="76"/>
      <c r="T81" s="76"/>
      <c r="U81" s="76"/>
      <c r="V81" s="75"/>
      <c r="W81" s="75"/>
      <c r="X81" s="75"/>
      <c r="Y81" s="76"/>
      <c r="Z81" s="76"/>
      <c r="AA81" s="76"/>
      <c r="AB81" s="75"/>
      <c r="AC81" s="75"/>
      <c r="AD81" s="75"/>
      <c r="AE81" s="75"/>
      <c r="AF81" s="75"/>
    </row>
    <row r="82" spans="2:32" x14ac:dyDescent="0.2">
      <c r="B82" s="76"/>
      <c r="C82" s="76"/>
      <c r="D82" s="76"/>
      <c r="E82" s="76"/>
      <c r="F82" s="76"/>
      <c r="G82" s="76"/>
      <c r="H82" s="76"/>
      <c r="I82" s="76"/>
      <c r="J82" s="76"/>
      <c r="K82" s="76"/>
      <c r="L82" s="75"/>
      <c r="M82" s="75"/>
      <c r="N82" s="76"/>
      <c r="O82" s="75"/>
      <c r="P82" s="76"/>
      <c r="Q82" s="76"/>
      <c r="R82" s="76"/>
      <c r="S82" s="76"/>
      <c r="T82" s="76"/>
      <c r="U82" s="76"/>
      <c r="V82" s="75"/>
      <c r="W82" s="75"/>
      <c r="X82" s="75"/>
      <c r="Y82" s="76"/>
      <c r="Z82" s="76"/>
      <c r="AA82" s="76"/>
      <c r="AB82" s="75"/>
      <c r="AC82" s="75"/>
      <c r="AD82" s="75"/>
      <c r="AE82" s="75"/>
      <c r="AF82" s="75"/>
    </row>
    <row r="83" spans="2:32" x14ac:dyDescent="0.2">
      <c r="B83" s="76"/>
      <c r="C83" s="76"/>
      <c r="D83" s="76"/>
      <c r="E83" s="76"/>
      <c r="F83" s="76"/>
      <c r="G83" s="76"/>
      <c r="H83" s="76"/>
      <c r="I83" s="76"/>
      <c r="J83" s="76"/>
      <c r="K83" s="76"/>
      <c r="L83" s="75"/>
      <c r="M83" s="75"/>
      <c r="N83" s="76"/>
      <c r="O83" s="75"/>
      <c r="P83" s="76"/>
      <c r="Q83" s="76"/>
      <c r="R83" s="76"/>
      <c r="S83" s="76"/>
      <c r="T83" s="76"/>
      <c r="U83" s="76"/>
      <c r="V83" s="75"/>
      <c r="W83" s="75"/>
      <c r="X83" s="75"/>
      <c r="Y83" s="76"/>
      <c r="Z83" s="76"/>
      <c r="AA83" s="76"/>
      <c r="AB83" s="75"/>
      <c r="AC83" s="75"/>
      <c r="AD83" s="75"/>
      <c r="AE83" s="75"/>
      <c r="AF83" s="75"/>
    </row>
    <row r="84" spans="2:32" x14ac:dyDescent="0.2">
      <c r="B84" s="76"/>
      <c r="C84" s="76"/>
      <c r="D84" s="76"/>
      <c r="E84" s="76"/>
      <c r="F84" s="76"/>
      <c r="G84" s="76"/>
      <c r="H84" s="76"/>
      <c r="I84" s="76"/>
      <c r="J84" s="76"/>
      <c r="K84" s="76"/>
      <c r="L84" s="75"/>
      <c r="M84" s="75"/>
      <c r="N84" s="76"/>
      <c r="O84" s="75"/>
      <c r="P84" s="76"/>
      <c r="Q84" s="76"/>
      <c r="R84" s="76"/>
      <c r="S84" s="76"/>
      <c r="T84" s="76"/>
      <c r="U84" s="76"/>
      <c r="V84" s="75"/>
      <c r="W84" s="75"/>
      <c r="X84" s="75"/>
      <c r="Y84" s="76"/>
      <c r="Z84" s="76"/>
      <c r="AA84" s="76"/>
      <c r="AB84" s="75"/>
      <c r="AC84" s="75"/>
      <c r="AD84" s="75"/>
      <c r="AE84" s="75"/>
      <c r="AF84" s="75"/>
    </row>
    <row r="85" spans="2:32" x14ac:dyDescent="0.2">
      <c r="B85" s="76"/>
      <c r="C85" s="76"/>
      <c r="D85" s="76"/>
      <c r="E85" s="76"/>
      <c r="F85" s="76"/>
      <c r="G85" s="76"/>
      <c r="H85" s="76"/>
      <c r="I85" s="76"/>
      <c r="J85" s="76"/>
      <c r="K85" s="76"/>
      <c r="L85" s="75"/>
      <c r="M85" s="75"/>
      <c r="N85" s="76"/>
      <c r="O85" s="75"/>
      <c r="P85" s="76"/>
      <c r="Q85" s="76"/>
      <c r="R85" s="76"/>
      <c r="S85" s="76"/>
      <c r="T85" s="76"/>
      <c r="U85" s="76"/>
      <c r="V85" s="75"/>
      <c r="W85" s="75"/>
      <c r="X85" s="75"/>
      <c r="Y85" s="76"/>
      <c r="Z85" s="76"/>
      <c r="AA85" s="76"/>
      <c r="AB85" s="75"/>
      <c r="AC85" s="75"/>
      <c r="AD85" s="75"/>
      <c r="AE85" s="75"/>
      <c r="AF85" s="75"/>
    </row>
    <row r="86" spans="2:32" x14ac:dyDescent="0.2">
      <c r="B86" s="76"/>
      <c r="C86" s="76"/>
      <c r="D86" s="76"/>
      <c r="E86" s="76"/>
      <c r="F86" s="76"/>
      <c r="G86" s="76"/>
      <c r="H86" s="76"/>
      <c r="I86" s="76"/>
      <c r="J86" s="76"/>
      <c r="K86" s="76"/>
      <c r="L86" s="75"/>
      <c r="M86" s="75"/>
      <c r="N86" s="76"/>
      <c r="O86" s="75"/>
      <c r="P86" s="76"/>
      <c r="Q86" s="76"/>
      <c r="R86" s="76"/>
      <c r="S86" s="76"/>
      <c r="T86" s="76"/>
      <c r="U86" s="76"/>
      <c r="V86" s="75"/>
      <c r="W86" s="75"/>
      <c r="X86" s="75"/>
      <c r="Y86" s="76"/>
      <c r="Z86" s="76"/>
      <c r="AA86" s="76"/>
      <c r="AB86" s="75"/>
      <c r="AC86" s="75"/>
      <c r="AD86" s="75"/>
      <c r="AE86" s="75"/>
      <c r="AF86" s="75"/>
    </row>
    <row r="87" spans="2:32" x14ac:dyDescent="0.2">
      <c r="B87" s="76"/>
      <c r="C87" s="76"/>
      <c r="D87" s="76"/>
      <c r="E87" s="76"/>
      <c r="F87" s="76"/>
      <c r="G87" s="76"/>
      <c r="H87" s="76"/>
      <c r="I87" s="76"/>
      <c r="J87" s="76"/>
      <c r="K87" s="76"/>
      <c r="L87" s="75"/>
      <c r="M87" s="75"/>
      <c r="N87" s="76"/>
      <c r="O87" s="75"/>
      <c r="P87" s="76"/>
      <c r="Q87" s="76"/>
      <c r="R87" s="76"/>
      <c r="S87" s="76"/>
      <c r="T87" s="76"/>
      <c r="U87" s="76"/>
      <c r="V87" s="75"/>
      <c r="W87" s="75"/>
      <c r="X87" s="75"/>
      <c r="Y87" s="76"/>
      <c r="Z87" s="76"/>
      <c r="AA87" s="76"/>
      <c r="AB87" s="75"/>
      <c r="AC87" s="75"/>
      <c r="AD87" s="75"/>
      <c r="AE87" s="75"/>
      <c r="AF87" s="75"/>
    </row>
    <row r="88" spans="2:32" x14ac:dyDescent="0.2">
      <c r="B88" s="76"/>
      <c r="C88" s="76"/>
      <c r="D88" s="76"/>
      <c r="E88" s="76"/>
      <c r="F88" s="76"/>
      <c r="G88" s="76"/>
      <c r="H88" s="76"/>
      <c r="I88" s="76"/>
      <c r="J88" s="76"/>
      <c r="K88" s="76"/>
      <c r="L88" s="75"/>
      <c r="M88" s="75"/>
      <c r="N88" s="76"/>
      <c r="O88" s="75"/>
      <c r="P88" s="76"/>
      <c r="Q88" s="76"/>
      <c r="R88" s="76"/>
      <c r="S88" s="76"/>
      <c r="T88" s="76"/>
      <c r="U88" s="76"/>
      <c r="V88" s="75"/>
      <c r="W88" s="75"/>
      <c r="X88" s="75"/>
      <c r="Y88" s="76"/>
      <c r="Z88" s="76"/>
      <c r="AA88" s="76"/>
      <c r="AB88" s="75"/>
      <c r="AC88" s="75"/>
      <c r="AD88" s="75"/>
      <c r="AE88" s="75"/>
      <c r="AF88" s="75"/>
    </row>
    <row r="89" spans="2:32" x14ac:dyDescent="0.2">
      <c r="B89" s="76"/>
      <c r="C89" s="76"/>
      <c r="D89" s="76"/>
      <c r="E89" s="76"/>
      <c r="F89" s="76"/>
      <c r="G89" s="76"/>
      <c r="H89" s="76"/>
      <c r="I89" s="76"/>
      <c r="J89" s="76"/>
      <c r="K89" s="76"/>
      <c r="L89" s="75"/>
      <c r="M89" s="75"/>
      <c r="N89" s="76"/>
      <c r="O89" s="75"/>
      <c r="P89" s="76"/>
      <c r="Q89" s="76"/>
      <c r="R89" s="76"/>
      <c r="S89" s="76"/>
      <c r="T89" s="76"/>
      <c r="U89" s="76"/>
      <c r="V89" s="75"/>
      <c r="W89" s="75"/>
      <c r="X89" s="75"/>
      <c r="Y89" s="76"/>
      <c r="Z89" s="76"/>
      <c r="AA89" s="76"/>
      <c r="AB89" s="75"/>
      <c r="AC89" s="75"/>
      <c r="AD89" s="75"/>
      <c r="AE89" s="75"/>
      <c r="AF89" s="75"/>
    </row>
    <row r="90" spans="2:32" x14ac:dyDescent="0.2">
      <c r="B90" s="76"/>
      <c r="C90" s="76"/>
      <c r="D90" s="76"/>
      <c r="E90" s="76"/>
      <c r="F90" s="76"/>
      <c r="G90" s="76"/>
      <c r="H90" s="76"/>
      <c r="I90" s="76"/>
      <c r="J90" s="76"/>
      <c r="K90" s="76"/>
      <c r="L90" s="75"/>
      <c r="M90" s="75"/>
      <c r="N90" s="76"/>
      <c r="O90" s="75"/>
      <c r="P90" s="76"/>
      <c r="Q90" s="76"/>
      <c r="R90" s="76"/>
      <c r="S90" s="76"/>
      <c r="T90" s="76"/>
      <c r="U90" s="76"/>
      <c r="V90" s="75"/>
      <c r="W90" s="75"/>
      <c r="X90" s="75"/>
      <c r="Y90" s="76"/>
      <c r="Z90" s="76"/>
      <c r="AA90" s="76"/>
      <c r="AB90" s="75"/>
      <c r="AC90" s="75"/>
      <c r="AD90" s="75"/>
      <c r="AE90" s="75"/>
      <c r="AF90" s="75"/>
    </row>
    <row r="91" spans="2:32" x14ac:dyDescent="0.2">
      <c r="B91" s="76"/>
      <c r="C91" s="76"/>
      <c r="D91" s="76"/>
      <c r="E91" s="76"/>
      <c r="F91" s="76"/>
      <c r="G91" s="76"/>
      <c r="H91" s="76"/>
      <c r="I91" s="76"/>
      <c r="J91" s="76"/>
      <c r="K91" s="76"/>
      <c r="L91" s="75"/>
      <c r="M91" s="75"/>
      <c r="N91" s="76"/>
      <c r="O91" s="75"/>
      <c r="P91" s="76"/>
      <c r="Q91" s="76"/>
      <c r="R91" s="76"/>
      <c r="S91" s="76"/>
      <c r="T91" s="76"/>
      <c r="U91" s="76"/>
      <c r="V91" s="75"/>
      <c r="W91" s="75"/>
      <c r="X91" s="75"/>
      <c r="Y91" s="76"/>
      <c r="Z91" s="76"/>
      <c r="AA91" s="76"/>
      <c r="AB91" s="75"/>
      <c r="AC91" s="75"/>
      <c r="AD91" s="75"/>
      <c r="AE91" s="75"/>
      <c r="AF91" s="75"/>
    </row>
    <row r="92" spans="2:32" x14ac:dyDescent="0.2">
      <c r="B92" s="76"/>
      <c r="C92" s="76"/>
      <c r="D92" s="76"/>
      <c r="E92" s="76"/>
      <c r="F92" s="76"/>
      <c r="G92" s="76"/>
      <c r="H92" s="76"/>
      <c r="I92" s="76"/>
      <c r="J92" s="76"/>
      <c r="K92" s="76"/>
      <c r="L92" s="75"/>
      <c r="M92" s="75"/>
      <c r="N92" s="76"/>
      <c r="O92" s="75"/>
      <c r="P92" s="76"/>
      <c r="Q92" s="76"/>
      <c r="R92" s="76"/>
      <c r="S92" s="76"/>
      <c r="T92" s="76"/>
      <c r="U92" s="76"/>
      <c r="V92" s="75"/>
      <c r="W92" s="75"/>
      <c r="X92" s="75"/>
      <c r="Y92" s="76"/>
      <c r="Z92" s="76"/>
      <c r="AA92" s="76"/>
      <c r="AB92" s="75"/>
      <c r="AC92" s="75"/>
      <c r="AD92" s="75"/>
      <c r="AE92" s="75"/>
      <c r="AF92" s="75"/>
    </row>
    <row r="93" spans="2:32" x14ac:dyDescent="0.2">
      <c r="B93" s="76"/>
      <c r="C93" s="76"/>
      <c r="D93" s="76"/>
      <c r="E93" s="76"/>
      <c r="F93" s="76"/>
      <c r="G93" s="76"/>
      <c r="H93" s="76"/>
      <c r="I93" s="76"/>
      <c r="J93" s="76"/>
      <c r="K93" s="76"/>
      <c r="L93" s="75"/>
      <c r="M93" s="75"/>
      <c r="N93" s="76"/>
      <c r="O93" s="75"/>
      <c r="P93" s="76"/>
      <c r="Q93" s="76"/>
      <c r="R93" s="76"/>
      <c r="S93" s="76"/>
      <c r="T93" s="76"/>
      <c r="U93" s="76"/>
      <c r="V93" s="75"/>
      <c r="W93" s="75"/>
      <c r="X93" s="75"/>
      <c r="Y93" s="76"/>
      <c r="Z93" s="76"/>
      <c r="AA93" s="76"/>
      <c r="AB93" s="75"/>
      <c r="AC93" s="75"/>
      <c r="AD93" s="75"/>
      <c r="AE93" s="75"/>
      <c r="AF93" s="75"/>
    </row>
    <row r="94" spans="2:32" x14ac:dyDescent="0.2">
      <c r="B94" s="76"/>
      <c r="C94" s="76"/>
      <c r="D94" s="76"/>
      <c r="E94" s="76"/>
      <c r="F94" s="76"/>
      <c r="G94" s="76"/>
      <c r="H94" s="76"/>
      <c r="I94" s="76"/>
      <c r="J94" s="76"/>
      <c r="K94" s="76"/>
      <c r="L94" s="75"/>
      <c r="M94" s="75"/>
      <c r="N94" s="76"/>
      <c r="O94" s="75"/>
      <c r="P94" s="76"/>
      <c r="Q94" s="76"/>
      <c r="R94" s="76"/>
      <c r="S94" s="76"/>
      <c r="T94" s="76"/>
      <c r="U94" s="76"/>
      <c r="V94" s="75"/>
      <c r="W94" s="75"/>
      <c r="X94" s="75"/>
      <c r="Y94" s="76"/>
      <c r="Z94" s="76"/>
      <c r="AA94" s="76"/>
      <c r="AB94" s="75"/>
      <c r="AC94" s="75"/>
      <c r="AD94" s="75"/>
      <c r="AE94" s="75"/>
      <c r="AF94" s="75"/>
    </row>
    <row r="95" spans="2:32" x14ac:dyDescent="0.2">
      <c r="B95" s="76"/>
      <c r="C95" s="76"/>
      <c r="D95" s="76"/>
      <c r="E95" s="76"/>
      <c r="F95" s="76"/>
      <c r="G95" s="76"/>
      <c r="H95" s="76"/>
      <c r="I95" s="76"/>
      <c r="J95" s="76"/>
      <c r="K95" s="76"/>
      <c r="L95" s="75"/>
      <c r="M95" s="75"/>
      <c r="N95" s="76"/>
      <c r="O95" s="75"/>
      <c r="P95" s="76"/>
      <c r="Q95" s="76"/>
      <c r="R95" s="76"/>
      <c r="S95" s="76"/>
      <c r="T95" s="76"/>
      <c r="U95" s="76"/>
      <c r="V95" s="75"/>
      <c r="W95" s="75"/>
      <c r="X95" s="75"/>
      <c r="Y95" s="76"/>
      <c r="Z95" s="76"/>
      <c r="AA95" s="76"/>
      <c r="AB95" s="75"/>
      <c r="AC95" s="75"/>
      <c r="AD95" s="75"/>
      <c r="AE95" s="75"/>
      <c r="AF95" s="75"/>
    </row>
    <row r="96" spans="2:32" x14ac:dyDescent="0.2">
      <c r="B96" s="76"/>
      <c r="C96" s="76"/>
      <c r="D96" s="76"/>
      <c r="E96" s="76"/>
      <c r="F96" s="76"/>
      <c r="G96" s="76"/>
      <c r="H96" s="76"/>
      <c r="I96" s="76"/>
      <c r="J96" s="76"/>
      <c r="K96" s="76"/>
      <c r="L96" s="75"/>
      <c r="M96" s="75"/>
      <c r="N96" s="76"/>
      <c r="O96" s="75"/>
      <c r="P96" s="76"/>
      <c r="Q96" s="76"/>
      <c r="R96" s="76"/>
      <c r="S96" s="76"/>
      <c r="T96" s="76"/>
      <c r="U96" s="76"/>
      <c r="V96" s="75"/>
      <c r="W96" s="75"/>
      <c r="X96" s="75"/>
      <c r="Y96" s="76"/>
      <c r="Z96" s="76"/>
      <c r="AA96" s="76"/>
      <c r="AB96" s="75"/>
      <c r="AC96" s="75"/>
      <c r="AD96" s="75"/>
      <c r="AE96" s="75"/>
      <c r="AF96" s="75"/>
    </row>
    <row r="97" spans="2:32" x14ac:dyDescent="0.2">
      <c r="B97" s="76"/>
      <c r="C97" s="76"/>
      <c r="D97" s="76"/>
      <c r="E97" s="76"/>
      <c r="F97" s="76"/>
      <c r="G97" s="76"/>
      <c r="H97" s="76"/>
      <c r="I97" s="76"/>
      <c r="J97" s="76"/>
      <c r="K97" s="76"/>
      <c r="L97" s="75"/>
      <c r="M97" s="75"/>
      <c r="N97" s="76"/>
      <c r="O97" s="75"/>
      <c r="P97" s="76"/>
      <c r="Q97" s="76"/>
      <c r="R97" s="76"/>
      <c r="S97" s="76"/>
      <c r="T97" s="76"/>
      <c r="U97" s="76"/>
      <c r="V97" s="75"/>
      <c r="W97" s="75"/>
      <c r="X97" s="75"/>
      <c r="Y97" s="76"/>
      <c r="Z97" s="76"/>
      <c r="AA97" s="76"/>
      <c r="AB97" s="75"/>
      <c r="AC97" s="75"/>
      <c r="AD97" s="75"/>
      <c r="AE97" s="75"/>
      <c r="AF97" s="75"/>
    </row>
    <row r="98" spans="2:32" x14ac:dyDescent="0.2">
      <c r="B98" s="76"/>
      <c r="C98" s="76"/>
      <c r="D98" s="76"/>
      <c r="E98" s="76"/>
      <c r="F98" s="76"/>
      <c r="G98" s="76"/>
      <c r="H98" s="76"/>
      <c r="I98" s="76"/>
      <c r="J98" s="76"/>
      <c r="K98" s="76"/>
      <c r="L98" s="75"/>
      <c r="M98" s="75"/>
      <c r="N98" s="76"/>
      <c r="O98" s="75"/>
      <c r="P98" s="76"/>
      <c r="Q98" s="76"/>
      <c r="R98" s="76"/>
      <c r="S98" s="76"/>
      <c r="T98" s="76"/>
      <c r="U98" s="76"/>
      <c r="V98" s="75"/>
      <c r="W98" s="75"/>
      <c r="X98" s="75"/>
      <c r="Y98" s="76"/>
      <c r="Z98" s="76"/>
      <c r="AA98" s="76"/>
      <c r="AB98" s="75"/>
      <c r="AC98" s="75"/>
      <c r="AD98" s="75"/>
      <c r="AE98" s="75"/>
      <c r="AF98" s="75"/>
    </row>
    <row r="99" spans="2:32" x14ac:dyDescent="0.2">
      <c r="B99" s="76"/>
      <c r="C99" s="76"/>
      <c r="D99" s="76"/>
      <c r="E99" s="76"/>
      <c r="F99" s="76"/>
      <c r="G99" s="76"/>
      <c r="H99" s="76"/>
      <c r="I99" s="76"/>
      <c r="J99" s="76"/>
      <c r="K99" s="76"/>
      <c r="L99" s="75"/>
      <c r="M99" s="75"/>
      <c r="N99" s="76"/>
      <c r="O99" s="75"/>
      <c r="P99" s="76"/>
      <c r="Q99" s="76"/>
      <c r="R99" s="76"/>
      <c r="S99" s="76"/>
      <c r="T99" s="76"/>
      <c r="U99" s="76"/>
      <c r="V99" s="75"/>
      <c r="W99" s="75"/>
      <c r="X99" s="75"/>
      <c r="Y99" s="76"/>
      <c r="Z99" s="76"/>
      <c r="AA99" s="76"/>
      <c r="AB99" s="75"/>
      <c r="AC99" s="75"/>
      <c r="AD99" s="75"/>
      <c r="AE99" s="75"/>
      <c r="AF99" s="75"/>
    </row>
    <row r="100" spans="2:32" x14ac:dyDescent="0.2">
      <c r="B100" s="76"/>
      <c r="C100" s="76"/>
      <c r="D100" s="76"/>
      <c r="E100" s="76"/>
      <c r="F100" s="76"/>
      <c r="G100" s="76"/>
      <c r="H100" s="76"/>
      <c r="I100" s="76"/>
      <c r="J100" s="76"/>
      <c r="K100" s="76"/>
      <c r="L100" s="75"/>
      <c r="M100" s="75"/>
      <c r="N100" s="76"/>
      <c r="O100" s="75"/>
      <c r="P100" s="76"/>
      <c r="Q100" s="76"/>
      <c r="R100" s="76"/>
      <c r="S100" s="76"/>
      <c r="T100" s="76"/>
      <c r="U100" s="76"/>
      <c r="V100" s="75"/>
      <c r="W100" s="75"/>
      <c r="X100" s="75"/>
      <c r="Y100" s="76"/>
      <c r="Z100" s="76"/>
      <c r="AA100" s="76"/>
      <c r="AB100" s="75"/>
      <c r="AC100" s="75"/>
      <c r="AD100" s="75"/>
      <c r="AE100" s="75"/>
      <c r="AF100" s="75"/>
    </row>
    <row r="101" spans="2:32" x14ac:dyDescent="0.2">
      <c r="B101" s="76"/>
      <c r="C101" s="76"/>
      <c r="D101" s="76"/>
      <c r="E101" s="76"/>
      <c r="F101" s="76"/>
      <c r="G101" s="76"/>
      <c r="H101" s="76"/>
      <c r="I101" s="76"/>
      <c r="J101" s="76"/>
      <c r="K101" s="76"/>
      <c r="L101" s="75"/>
      <c r="M101" s="75"/>
      <c r="N101" s="76"/>
      <c r="O101" s="75"/>
      <c r="P101" s="76"/>
      <c r="Q101" s="76"/>
      <c r="R101" s="76"/>
      <c r="S101" s="76"/>
      <c r="T101" s="76"/>
      <c r="U101" s="76"/>
      <c r="V101" s="75"/>
      <c r="W101" s="75"/>
      <c r="X101" s="75"/>
      <c r="Y101" s="76"/>
      <c r="Z101" s="76"/>
      <c r="AA101" s="76"/>
      <c r="AB101" s="75"/>
      <c r="AC101" s="75"/>
      <c r="AD101" s="75"/>
      <c r="AE101" s="75"/>
      <c r="AF101" s="75"/>
    </row>
    <row r="102" spans="2:32" x14ac:dyDescent="0.2">
      <c r="B102" s="76"/>
      <c r="C102" s="76"/>
      <c r="D102" s="76"/>
      <c r="E102" s="76"/>
      <c r="F102" s="76"/>
      <c r="G102" s="76"/>
      <c r="H102" s="76"/>
      <c r="I102" s="76"/>
      <c r="J102" s="76"/>
      <c r="K102" s="76"/>
      <c r="L102" s="75"/>
      <c r="M102" s="75"/>
      <c r="N102" s="76"/>
      <c r="O102" s="75"/>
      <c r="P102" s="76"/>
      <c r="Q102" s="76"/>
      <c r="R102" s="76"/>
      <c r="S102" s="76"/>
      <c r="T102" s="76"/>
      <c r="U102" s="76"/>
      <c r="V102" s="75"/>
      <c r="W102" s="75"/>
      <c r="X102" s="75"/>
      <c r="Y102" s="76"/>
      <c r="Z102" s="76"/>
      <c r="AA102" s="76"/>
      <c r="AB102" s="75"/>
      <c r="AC102" s="75"/>
      <c r="AD102" s="75"/>
      <c r="AE102" s="75"/>
      <c r="AF102" s="75"/>
    </row>
    <row r="103" spans="2:32" x14ac:dyDescent="0.2">
      <c r="B103" s="76"/>
      <c r="C103" s="76"/>
      <c r="D103" s="76"/>
      <c r="E103" s="76"/>
      <c r="F103" s="76"/>
      <c r="G103" s="76"/>
      <c r="H103" s="76"/>
      <c r="I103" s="76"/>
      <c r="J103" s="76"/>
      <c r="K103" s="76"/>
      <c r="L103" s="75"/>
      <c r="M103" s="75"/>
      <c r="N103" s="76"/>
      <c r="O103" s="75"/>
      <c r="P103" s="76"/>
      <c r="Q103" s="76"/>
      <c r="R103" s="76"/>
      <c r="S103" s="76"/>
      <c r="T103" s="76"/>
      <c r="U103" s="76"/>
      <c r="V103" s="75"/>
      <c r="W103" s="75"/>
      <c r="X103" s="75"/>
      <c r="Y103" s="76"/>
      <c r="Z103" s="76"/>
      <c r="AA103" s="76"/>
      <c r="AB103" s="75"/>
      <c r="AC103" s="75"/>
      <c r="AD103" s="75"/>
      <c r="AE103" s="75"/>
      <c r="AF103" s="75"/>
    </row>
    <row r="104" spans="2:32" x14ac:dyDescent="0.2">
      <c r="B104" s="76"/>
      <c r="C104" s="76"/>
      <c r="D104" s="76"/>
      <c r="E104" s="76"/>
      <c r="F104" s="76"/>
      <c r="G104" s="76"/>
      <c r="H104" s="76"/>
      <c r="I104" s="76"/>
      <c r="J104" s="76"/>
      <c r="K104" s="76"/>
      <c r="L104" s="75"/>
      <c r="M104" s="75"/>
      <c r="N104" s="76"/>
      <c r="O104" s="75"/>
      <c r="P104" s="76"/>
      <c r="Q104" s="76"/>
      <c r="R104" s="76"/>
      <c r="S104" s="76"/>
      <c r="T104" s="76"/>
      <c r="U104" s="76"/>
      <c r="V104" s="75"/>
      <c r="W104" s="75"/>
      <c r="X104" s="75"/>
      <c r="Y104" s="76"/>
      <c r="Z104" s="76"/>
      <c r="AA104" s="76"/>
      <c r="AB104" s="75"/>
      <c r="AC104" s="75"/>
      <c r="AD104" s="75"/>
      <c r="AE104" s="75"/>
      <c r="AF104" s="75"/>
    </row>
    <row r="105" spans="2:32" x14ac:dyDescent="0.2">
      <c r="B105" s="76"/>
      <c r="C105" s="76"/>
      <c r="D105" s="76"/>
      <c r="E105" s="76"/>
      <c r="F105" s="76"/>
      <c r="G105" s="76"/>
      <c r="H105" s="76"/>
      <c r="I105" s="76"/>
      <c r="J105" s="76"/>
      <c r="K105" s="76"/>
      <c r="L105" s="75"/>
      <c r="M105" s="75"/>
      <c r="N105" s="76"/>
      <c r="O105" s="75"/>
      <c r="P105" s="76"/>
      <c r="Q105" s="76"/>
      <c r="R105" s="76"/>
      <c r="S105" s="76"/>
      <c r="T105" s="76"/>
      <c r="U105" s="76"/>
      <c r="V105" s="75"/>
      <c r="W105" s="75"/>
      <c r="X105" s="75"/>
      <c r="Y105" s="76"/>
      <c r="Z105" s="76"/>
      <c r="AA105" s="76"/>
      <c r="AB105" s="75"/>
      <c r="AC105" s="75"/>
      <c r="AD105" s="75"/>
      <c r="AE105" s="75"/>
      <c r="AF105" s="75"/>
    </row>
    <row r="106" spans="2:32" x14ac:dyDescent="0.2">
      <c r="B106" s="76"/>
      <c r="C106" s="76"/>
      <c r="D106" s="76"/>
      <c r="E106" s="76"/>
      <c r="F106" s="76"/>
      <c r="G106" s="76"/>
      <c r="H106" s="76"/>
      <c r="I106" s="76"/>
      <c r="J106" s="76"/>
      <c r="K106" s="76"/>
      <c r="L106" s="75"/>
      <c r="M106" s="75"/>
      <c r="N106" s="76"/>
      <c r="O106" s="75"/>
      <c r="P106" s="76"/>
      <c r="Q106" s="76"/>
      <c r="R106" s="76"/>
      <c r="S106" s="76"/>
      <c r="T106" s="76"/>
      <c r="U106" s="76"/>
      <c r="V106" s="75"/>
      <c r="W106" s="75"/>
      <c r="X106" s="75"/>
      <c r="Y106" s="76"/>
      <c r="Z106" s="76"/>
      <c r="AA106" s="76"/>
      <c r="AB106" s="75"/>
      <c r="AC106" s="75"/>
      <c r="AD106" s="75"/>
      <c r="AE106" s="75"/>
      <c r="AF106" s="75"/>
    </row>
    <row r="107" spans="2:32" x14ac:dyDescent="0.2">
      <c r="B107" s="76"/>
      <c r="C107" s="76"/>
      <c r="D107" s="76"/>
      <c r="E107" s="76"/>
      <c r="F107" s="76"/>
      <c r="G107" s="76"/>
      <c r="H107" s="76"/>
      <c r="I107" s="76"/>
      <c r="J107" s="76"/>
      <c r="K107" s="76"/>
      <c r="L107" s="75"/>
      <c r="M107" s="75"/>
      <c r="N107" s="76"/>
      <c r="O107" s="75"/>
      <c r="P107" s="76"/>
      <c r="Q107" s="76"/>
      <c r="R107" s="76"/>
      <c r="S107" s="76"/>
      <c r="T107" s="76"/>
      <c r="U107" s="76"/>
      <c r="V107" s="75"/>
      <c r="W107" s="75"/>
      <c r="X107" s="75"/>
      <c r="Y107" s="76"/>
      <c r="Z107" s="76"/>
      <c r="AA107" s="76"/>
      <c r="AB107" s="75"/>
      <c r="AC107" s="75"/>
      <c r="AD107" s="75"/>
      <c r="AE107" s="75"/>
      <c r="AF107" s="75"/>
    </row>
    <row r="108" spans="2:32" x14ac:dyDescent="0.2">
      <c r="B108" s="76"/>
      <c r="C108" s="76"/>
      <c r="D108" s="76"/>
      <c r="E108" s="76"/>
      <c r="F108" s="76"/>
      <c r="G108" s="76"/>
      <c r="H108" s="76"/>
      <c r="I108" s="76"/>
      <c r="J108" s="76"/>
      <c r="K108" s="76"/>
      <c r="L108" s="75"/>
      <c r="M108" s="75"/>
      <c r="N108" s="76"/>
      <c r="O108" s="75"/>
      <c r="P108" s="76"/>
      <c r="Q108" s="76"/>
      <c r="R108" s="76"/>
      <c r="S108" s="76"/>
      <c r="T108" s="76"/>
      <c r="U108" s="76"/>
      <c r="V108" s="75"/>
      <c r="W108" s="75"/>
      <c r="X108" s="75"/>
      <c r="Y108" s="76"/>
      <c r="Z108" s="76"/>
      <c r="AA108" s="76"/>
      <c r="AB108" s="75"/>
      <c r="AC108" s="75"/>
      <c r="AD108" s="75"/>
      <c r="AE108" s="75"/>
      <c r="AF108" s="75"/>
    </row>
    <row r="109" spans="2:32" x14ac:dyDescent="0.2">
      <c r="B109" s="76"/>
      <c r="C109" s="76"/>
      <c r="D109" s="76"/>
      <c r="E109" s="76"/>
      <c r="F109" s="76"/>
      <c r="G109" s="76"/>
      <c r="H109" s="76"/>
      <c r="I109" s="76"/>
      <c r="J109" s="76"/>
      <c r="K109" s="76"/>
      <c r="L109" s="75"/>
      <c r="M109" s="75"/>
      <c r="N109" s="76"/>
      <c r="O109" s="75"/>
      <c r="P109" s="76"/>
      <c r="Q109" s="76"/>
      <c r="R109" s="76"/>
      <c r="S109" s="76"/>
      <c r="T109" s="76"/>
      <c r="U109" s="76"/>
      <c r="V109" s="75"/>
      <c r="W109" s="75"/>
      <c r="X109" s="75"/>
      <c r="Y109" s="76"/>
      <c r="Z109" s="76"/>
      <c r="AA109" s="76"/>
      <c r="AB109" s="75"/>
      <c r="AC109" s="75"/>
      <c r="AD109" s="75"/>
      <c r="AE109" s="75"/>
      <c r="AF109" s="75"/>
    </row>
    <row r="110" spans="2:32" x14ac:dyDescent="0.2">
      <c r="B110" s="76"/>
      <c r="C110" s="76"/>
      <c r="D110" s="76"/>
      <c r="E110" s="76"/>
      <c r="F110" s="76"/>
      <c r="G110" s="76"/>
      <c r="H110" s="76"/>
      <c r="I110" s="76"/>
      <c r="J110" s="76"/>
      <c r="K110" s="76"/>
      <c r="L110" s="75"/>
      <c r="M110" s="75"/>
      <c r="N110" s="76"/>
      <c r="O110" s="75"/>
      <c r="P110" s="76"/>
      <c r="Q110" s="76"/>
      <c r="R110" s="76"/>
      <c r="S110" s="76"/>
      <c r="T110" s="76"/>
      <c r="U110" s="76"/>
      <c r="V110" s="75"/>
      <c r="W110" s="75"/>
      <c r="X110" s="75"/>
      <c r="Y110" s="76"/>
      <c r="Z110" s="76"/>
      <c r="AA110" s="76"/>
      <c r="AB110" s="75"/>
      <c r="AC110" s="75"/>
      <c r="AD110" s="75"/>
      <c r="AE110" s="75"/>
      <c r="AF110" s="75"/>
    </row>
    <row r="111" spans="2:32" x14ac:dyDescent="0.2">
      <c r="B111" s="76"/>
      <c r="C111" s="76"/>
      <c r="D111" s="76"/>
      <c r="E111" s="76"/>
      <c r="F111" s="76"/>
      <c r="G111" s="76"/>
      <c r="H111" s="76"/>
      <c r="I111" s="76"/>
      <c r="J111" s="76"/>
      <c r="K111" s="76"/>
      <c r="L111" s="75"/>
      <c r="M111" s="75"/>
      <c r="N111" s="76"/>
      <c r="O111" s="75"/>
      <c r="P111" s="76"/>
      <c r="Q111" s="76"/>
      <c r="R111" s="76"/>
      <c r="S111" s="76"/>
      <c r="T111" s="76"/>
      <c r="U111" s="76"/>
      <c r="V111" s="75"/>
      <c r="W111" s="75"/>
      <c r="X111" s="75"/>
      <c r="Y111" s="76"/>
      <c r="Z111" s="76"/>
      <c r="AA111" s="76"/>
      <c r="AB111" s="75"/>
      <c r="AC111" s="75"/>
      <c r="AD111" s="75"/>
      <c r="AE111" s="75"/>
      <c r="AF111" s="75"/>
    </row>
    <row r="112" spans="2:32" x14ac:dyDescent="0.2">
      <c r="B112" s="76"/>
      <c r="C112" s="76"/>
      <c r="D112" s="76"/>
      <c r="E112" s="76"/>
      <c r="F112" s="76"/>
      <c r="G112" s="76"/>
      <c r="H112" s="76"/>
      <c r="I112" s="76"/>
      <c r="J112" s="76"/>
      <c r="K112" s="76"/>
      <c r="L112" s="75"/>
      <c r="M112" s="75"/>
      <c r="N112" s="76"/>
      <c r="O112" s="75"/>
      <c r="P112" s="76"/>
      <c r="Q112" s="76"/>
      <c r="R112" s="76"/>
      <c r="S112" s="76"/>
      <c r="T112" s="76"/>
      <c r="U112" s="76"/>
      <c r="V112" s="75"/>
      <c r="W112" s="75"/>
      <c r="X112" s="75"/>
      <c r="Y112" s="76"/>
      <c r="Z112" s="76"/>
      <c r="AA112" s="76"/>
      <c r="AB112" s="75"/>
      <c r="AC112" s="75"/>
      <c r="AD112" s="75"/>
      <c r="AE112" s="75"/>
      <c r="AF112" s="75"/>
    </row>
    <row r="113" spans="2:32" x14ac:dyDescent="0.2">
      <c r="B113" s="76"/>
      <c r="C113" s="76"/>
      <c r="D113" s="76"/>
      <c r="E113" s="76"/>
      <c r="F113" s="76"/>
      <c r="G113" s="76"/>
      <c r="H113" s="76"/>
      <c r="I113" s="76"/>
      <c r="J113" s="76"/>
      <c r="K113" s="76"/>
      <c r="L113" s="75"/>
      <c r="M113" s="75"/>
      <c r="N113" s="76"/>
      <c r="O113" s="75"/>
      <c r="P113" s="76"/>
      <c r="Q113" s="76"/>
      <c r="R113" s="76"/>
      <c r="S113" s="76"/>
      <c r="T113" s="76"/>
      <c r="U113" s="76"/>
      <c r="V113" s="75"/>
      <c r="W113" s="75"/>
      <c r="X113" s="75"/>
      <c r="Y113" s="76"/>
      <c r="Z113" s="76"/>
      <c r="AA113" s="76"/>
      <c r="AB113" s="75"/>
      <c r="AC113" s="75"/>
      <c r="AD113" s="75"/>
      <c r="AE113" s="75"/>
      <c r="AF113" s="75"/>
    </row>
    <row r="114" spans="2:32" x14ac:dyDescent="0.2">
      <c r="B114" s="76"/>
      <c r="C114" s="76"/>
      <c r="D114" s="76"/>
      <c r="E114" s="76"/>
      <c r="F114" s="76"/>
      <c r="G114" s="76"/>
      <c r="H114" s="76"/>
      <c r="I114" s="76"/>
      <c r="J114" s="76"/>
      <c r="K114" s="76"/>
      <c r="L114" s="75"/>
      <c r="M114" s="75"/>
      <c r="N114" s="76"/>
      <c r="O114" s="75"/>
      <c r="P114" s="76"/>
      <c r="Q114" s="76"/>
      <c r="R114" s="76"/>
      <c r="S114" s="76"/>
      <c r="T114" s="76"/>
      <c r="U114" s="76"/>
      <c r="V114" s="75"/>
      <c r="W114" s="75"/>
      <c r="X114" s="75"/>
      <c r="Y114" s="76"/>
      <c r="Z114" s="76"/>
      <c r="AA114" s="76"/>
      <c r="AB114" s="75"/>
      <c r="AC114" s="75"/>
      <c r="AD114" s="75"/>
      <c r="AE114" s="75"/>
      <c r="AF114" s="75"/>
    </row>
    <row r="115" spans="2:32" x14ac:dyDescent="0.2">
      <c r="B115" s="76"/>
      <c r="C115" s="76"/>
      <c r="D115" s="76"/>
      <c r="E115" s="76"/>
      <c r="F115" s="76"/>
      <c r="G115" s="76"/>
      <c r="H115" s="76"/>
      <c r="I115" s="76"/>
      <c r="J115" s="76"/>
      <c r="K115" s="76"/>
      <c r="L115" s="75"/>
      <c r="M115" s="75"/>
      <c r="N115" s="76"/>
      <c r="O115" s="75"/>
      <c r="P115" s="76"/>
      <c r="Q115" s="76"/>
      <c r="R115" s="76"/>
      <c r="S115" s="76"/>
      <c r="T115" s="76"/>
      <c r="U115" s="76"/>
      <c r="V115" s="75"/>
      <c r="W115" s="75"/>
      <c r="X115" s="75"/>
      <c r="Y115" s="76"/>
      <c r="Z115" s="76"/>
      <c r="AA115" s="76"/>
      <c r="AB115" s="75"/>
      <c r="AC115" s="75"/>
      <c r="AD115" s="75"/>
      <c r="AE115" s="75"/>
      <c r="AF115" s="75"/>
    </row>
    <row r="116" spans="2:32" x14ac:dyDescent="0.2">
      <c r="B116" s="76"/>
      <c r="C116" s="76"/>
      <c r="D116" s="76"/>
      <c r="E116" s="76"/>
      <c r="F116" s="76"/>
      <c r="G116" s="76"/>
      <c r="H116" s="76"/>
      <c r="I116" s="76"/>
      <c r="J116" s="76"/>
      <c r="K116" s="76"/>
      <c r="L116" s="75"/>
      <c r="M116" s="75"/>
      <c r="N116" s="76"/>
      <c r="O116" s="75"/>
      <c r="P116" s="76"/>
      <c r="Q116" s="76"/>
      <c r="R116" s="76"/>
      <c r="S116" s="76"/>
      <c r="T116" s="76"/>
      <c r="U116" s="76"/>
      <c r="V116" s="75"/>
      <c r="W116" s="75"/>
      <c r="X116" s="75"/>
      <c r="Y116" s="76"/>
      <c r="Z116" s="76"/>
      <c r="AA116" s="76"/>
      <c r="AB116" s="75"/>
      <c r="AC116" s="75"/>
      <c r="AD116" s="75"/>
      <c r="AE116" s="75"/>
      <c r="AF116" s="75"/>
    </row>
    <row r="117" spans="2:32" x14ac:dyDescent="0.2">
      <c r="B117" s="76"/>
      <c r="C117" s="76"/>
      <c r="D117" s="76"/>
      <c r="E117" s="76"/>
      <c r="F117" s="76"/>
      <c r="G117" s="76"/>
      <c r="H117" s="76"/>
      <c r="I117" s="76"/>
      <c r="J117" s="76"/>
      <c r="K117" s="76"/>
      <c r="L117" s="75"/>
      <c r="M117" s="75"/>
      <c r="N117" s="76"/>
      <c r="O117" s="75"/>
      <c r="P117" s="76"/>
      <c r="Q117" s="76"/>
      <c r="R117" s="76"/>
      <c r="S117" s="76"/>
      <c r="T117" s="76"/>
      <c r="U117" s="76"/>
      <c r="V117" s="75"/>
      <c r="W117" s="75"/>
      <c r="X117" s="75"/>
      <c r="Y117" s="76"/>
      <c r="Z117" s="76"/>
      <c r="AA117" s="76"/>
      <c r="AB117" s="75"/>
      <c r="AC117" s="75"/>
      <c r="AD117" s="75"/>
      <c r="AE117" s="75"/>
      <c r="AF117" s="75"/>
    </row>
    <row r="118" spans="2:32" x14ac:dyDescent="0.2">
      <c r="B118" s="76"/>
      <c r="C118" s="76"/>
      <c r="D118" s="76"/>
      <c r="E118" s="76"/>
      <c r="F118" s="76"/>
      <c r="G118" s="76"/>
      <c r="H118" s="76"/>
      <c r="I118" s="76"/>
      <c r="J118" s="76"/>
      <c r="K118" s="76"/>
      <c r="L118" s="75"/>
      <c r="M118" s="75"/>
      <c r="N118" s="76"/>
      <c r="O118" s="75"/>
      <c r="P118" s="76"/>
      <c r="Q118" s="76"/>
      <c r="R118" s="76"/>
      <c r="S118" s="76"/>
      <c r="T118" s="76"/>
      <c r="U118" s="76"/>
      <c r="V118" s="75"/>
      <c r="W118" s="75"/>
      <c r="X118" s="75"/>
      <c r="Y118" s="76"/>
      <c r="Z118" s="76"/>
      <c r="AA118" s="76"/>
      <c r="AB118" s="75"/>
      <c r="AC118" s="75"/>
      <c r="AD118" s="75"/>
      <c r="AE118" s="75"/>
      <c r="AF118" s="75"/>
    </row>
    <row r="119" spans="2:32" x14ac:dyDescent="0.2">
      <c r="B119" s="76"/>
      <c r="C119" s="76"/>
      <c r="D119" s="76"/>
      <c r="E119" s="76"/>
      <c r="F119" s="76"/>
      <c r="G119" s="76"/>
      <c r="H119" s="76"/>
      <c r="I119" s="76"/>
      <c r="J119" s="76"/>
      <c r="K119" s="76"/>
      <c r="L119" s="75"/>
      <c r="M119" s="75"/>
      <c r="N119" s="76"/>
      <c r="O119" s="75"/>
      <c r="P119" s="76"/>
      <c r="Q119" s="76"/>
      <c r="R119" s="76"/>
      <c r="S119" s="76"/>
      <c r="T119" s="76"/>
      <c r="U119" s="76"/>
      <c r="V119" s="75"/>
      <c r="W119" s="75"/>
      <c r="X119" s="75"/>
      <c r="Y119" s="76"/>
      <c r="Z119" s="76"/>
      <c r="AA119" s="76"/>
      <c r="AB119" s="75"/>
      <c r="AC119" s="75"/>
      <c r="AD119" s="75"/>
      <c r="AE119" s="75"/>
      <c r="AF119" s="75"/>
    </row>
    <row r="120" spans="2:32" x14ac:dyDescent="0.2">
      <c r="B120" s="76"/>
      <c r="C120" s="76"/>
      <c r="D120" s="76"/>
      <c r="E120" s="76"/>
      <c r="F120" s="76"/>
      <c r="G120" s="76"/>
      <c r="H120" s="76"/>
      <c r="I120" s="76"/>
      <c r="J120" s="76"/>
      <c r="K120" s="76"/>
      <c r="L120" s="75"/>
      <c r="M120" s="75"/>
      <c r="N120" s="76"/>
      <c r="O120" s="75"/>
      <c r="P120" s="76"/>
      <c r="Q120" s="76"/>
      <c r="R120" s="76"/>
      <c r="S120" s="76"/>
      <c r="T120" s="76"/>
      <c r="U120" s="76"/>
      <c r="V120" s="75"/>
      <c r="W120" s="75"/>
      <c r="X120" s="75"/>
      <c r="Y120" s="76"/>
      <c r="Z120" s="76"/>
      <c r="AA120" s="76"/>
      <c r="AB120" s="75"/>
      <c r="AC120" s="75"/>
      <c r="AD120" s="75"/>
      <c r="AE120" s="75"/>
      <c r="AF120" s="75"/>
    </row>
    <row r="121" spans="2:32" x14ac:dyDescent="0.2">
      <c r="B121" s="76"/>
      <c r="C121" s="76"/>
      <c r="D121" s="76"/>
      <c r="E121" s="76"/>
      <c r="F121" s="76"/>
      <c r="G121" s="76"/>
      <c r="H121" s="76"/>
      <c r="I121" s="76"/>
      <c r="J121" s="76"/>
      <c r="K121" s="76"/>
      <c r="L121" s="75"/>
      <c r="M121" s="75"/>
      <c r="N121" s="76"/>
      <c r="O121" s="75"/>
      <c r="P121" s="76"/>
      <c r="Q121" s="76"/>
      <c r="R121" s="76"/>
      <c r="S121" s="76"/>
      <c r="T121" s="76"/>
      <c r="U121" s="76"/>
      <c r="V121" s="75"/>
      <c r="W121" s="75"/>
      <c r="X121" s="75"/>
      <c r="Y121" s="76"/>
      <c r="Z121" s="76"/>
      <c r="AA121" s="76"/>
      <c r="AB121" s="75"/>
      <c r="AC121" s="75"/>
      <c r="AD121" s="75"/>
      <c r="AE121" s="75"/>
      <c r="AF121" s="75"/>
    </row>
    <row r="122" spans="2:32" x14ac:dyDescent="0.2">
      <c r="B122" s="76"/>
      <c r="C122" s="76"/>
      <c r="D122" s="76"/>
      <c r="E122" s="76"/>
      <c r="F122" s="76"/>
      <c r="G122" s="76"/>
      <c r="H122" s="76"/>
      <c r="I122" s="76"/>
      <c r="J122" s="76"/>
      <c r="K122" s="76"/>
      <c r="L122" s="75"/>
      <c r="M122" s="75"/>
      <c r="N122" s="76"/>
      <c r="O122" s="75"/>
      <c r="P122" s="76"/>
      <c r="Q122" s="76"/>
      <c r="R122" s="76"/>
      <c r="S122" s="76"/>
      <c r="T122" s="76"/>
      <c r="U122" s="76"/>
      <c r="V122" s="75"/>
      <c r="W122" s="75"/>
      <c r="X122" s="75"/>
      <c r="Y122" s="76"/>
      <c r="Z122" s="76"/>
      <c r="AA122" s="76"/>
      <c r="AB122" s="75"/>
      <c r="AC122" s="75"/>
      <c r="AD122" s="75"/>
      <c r="AE122" s="75"/>
      <c r="AF122" s="75"/>
    </row>
    <row r="123" spans="2:32" x14ac:dyDescent="0.2">
      <c r="B123" s="76"/>
      <c r="C123" s="76"/>
      <c r="D123" s="76"/>
      <c r="E123" s="76"/>
      <c r="F123" s="76"/>
      <c r="G123" s="76"/>
      <c r="H123" s="76"/>
      <c r="I123" s="76"/>
      <c r="J123" s="76"/>
      <c r="K123" s="76"/>
      <c r="L123" s="75"/>
      <c r="M123" s="75"/>
      <c r="N123" s="76"/>
      <c r="O123" s="75"/>
      <c r="P123" s="76"/>
      <c r="Q123" s="76"/>
      <c r="R123" s="76"/>
      <c r="S123" s="76"/>
      <c r="T123" s="76"/>
      <c r="U123" s="76"/>
      <c r="V123" s="75"/>
      <c r="W123" s="75"/>
      <c r="X123" s="75"/>
      <c r="Y123" s="76"/>
      <c r="Z123" s="76"/>
      <c r="AA123" s="76"/>
      <c r="AB123" s="75"/>
      <c r="AC123" s="75"/>
      <c r="AD123" s="75"/>
      <c r="AE123" s="75"/>
      <c r="AF123" s="75"/>
    </row>
    <row r="124" spans="2:32" x14ac:dyDescent="0.2">
      <c r="B124" s="76"/>
      <c r="C124" s="76"/>
      <c r="D124" s="76"/>
      <c r="E124" s="76"/>
      <c r="F124" s="76"/>
      <c r="G124" s="76"/>
      <c r="H124" s="76"/>
      <c r="I124" s="76"/>
      <c r="J124" s="76"/>
      <c r="K124" s="76"/>
      <c r="L124" s="75"/>
      <c r="M124" s="75"/>
      <c r="N124" s="76"/>
      <c r="O124" s="75"/>
      <c r="P124" s="76"/>
      <c r="Q124" s="76"/>
      <c r="R124" s="76"/>
      <c r="S124" s="76"/>
      <c r="T124" s="76"/>
      <c r="U124" s="76"/>
      <c r="V124" s="75"/>
      <c r="W124" s="75"/>
      <c r="X124" s="75"/>
      <c r="Y124" s="76"/>
      <c r="Z124" s="76"/>
      <c r="AA124" s="76"/>
      <c r="AB124" s="75"/>
      <c r="AC124" s="75"/>
      <c r="AD124" s="75"/>
      <c r="AE124" s="75"/>
      <c r="AF124" s="75"/>
    </row>
    <row r="125" spans="2:32" x14ac:dyDescent="0.2">
      <c r="B125" s="76"/>
      <c r="C125" s="76"/>
      <c r="D125" s="76"/>
      <c r="E125" s="76"/>
      <c r="F125" s="76"/>
      <c r="G125" s="76"/>
      <c r="H125" s="76"/>
      <c r="I125" s="76"/>
      <c r="J125" s="76"/>
      <c r="K125" s="76"/>
      <c r="L125" s="75"/>
      <c r="M125" s="75"/>
      <c r="N125" s="76"/>
      <c r="O125" s="75"/>
      <c r="P125" s="76"/>
      <c r="Q125" s="76"/>
      <c r="R125" s="76"/>
      <c r="S125" s="76"/>
      <c r="T125" s="76"/>
      <c r="U125" s="76"/>
      <c r="V125" s="75"/>
      <c r="W125" s="75"/>
      <c r="X125" s="75"/>
      <c r="Y125" s="76"/>
      <c r="Z125" s="76"/>
      <c r="AA125" s="76"/>
      <c r="AB125" s="75"/>
      <c r="AC125" s="75"/>
      <c r="AD125" s="75"/>
      <c r="AE125" s="75"/>
      <c r="AF125" s="75"/>
    </row>
    <row r="126" spans="2:32" x14ac:dyDescent="0.2">
      <c r="B126" s="76"/>
      <c r="C126" s="76"/>
      <c r="D126" s="76"/>
      <c r="E126" s="76"/>
      <c r="F126" s="76"/>
      <c r="G126" s="76"/>
      <c r="H126" s="76"/>
      <c r="I126" s="76"/>
      <c r="J126" s="76"/>
      <c r="K126" s="76"/>
      <c r="L126" s="75"/>
      <c r="M126" s="75"/>
      <c r="N126" s="76"/>
      <c r="O126" s="75"/>
      <c r="P126" s="76"/>
      <c r="Q126" s="76"/>
      <c r="R126" s="76"/>
      <c r="S126" s="76"/>
      <c r="T126" s="76"/>
      <c r="U126" s="76"/>
      <c r="V126" s="75"/>
      <c r="W126" s="75"/>
      <c r="X126" s="75"/>
      <c r="Y126" s="76"/>
      <c r="Z126" s="76"/>
      <c r="AA126" s="76"/>
      <c r="AB126" s="75"/>
      <c r="AC126" s="75"/>
      <c r="AD126" s="75"/>
      <c r="AE126" s="75"/>
      <c r="AF126" s="75"/>
    </row>
    <row r="127" spans="2:32" x14ac:dyDescent="0.2">
      <c r="B127" s="76"/>
      <c r="C127" s="76"/>
      <c r="D127" s="76"/>
      <c r="E127" s="76"/>
      <c r="F127" s="76"/>
      <c r="G127" s="76"/>
      <c r="H127" s="76"/>
      <c r="I127" s="76"/>
      <c r="J127" s="76"/>
      <c r="K127" s="76"/>
      <c r="L127" s="75"/>
      <c r="M127" s="75"/>
      <c r="N127" s="76"/>
      <c r="O127" s="75"/>
      <c r="P127" s="76"/>
      <c r="Q127" s="76"/>
      <c r="R127" s="76"/>
      <c r="S127" s="76"/>
      <c r="T127" s="76"/>
      <c r="U127" s="76"/>
      <c r="V127" s="75"/>
      <c r="W127" s="75"/>
      <c r="X127" s="75"/>
      <c r="Y127" s="76"/>
      <c r="Z127" s="76"/>
      <c r="AA127" s="76"/>
      <c r="AB127" s="75"/>
      <c r="AC127" s="75"/>
      <c r="AD127" s="75"/>
      <c r="AE127" s="75"/>
      <c r="AF127" s="75"/>
    </row>
    <row r="128" spans="2:32" x14ac:dyDescent="0.2">
      <c r="B128" s="76"/>
      <c r="C128" s="76"/>
      <c r="D128" s="76"/>
      <c r="E128" s="76"/>
      <c r="F128" s="76"/>
      <c r="G128" s="76"/>
      <c r="H128" s="76"/>
      <c r="I128" s="76"/>
      <c r="J128" s="76"/>
      <c r="K128" s="76"/>
      <c r="L128" s="75"/>
      <c r="M128" s="75"/>
      <c r="N128" s="76"/>
      <c r="O128" s="75"/>
      <c r="P128" s="76"/>
      <c r="Q128" s="76"/>
      <c r="R128" s="76"/>
      <c r="S128" s="76"/>
      <c r="T128" s="76"/>
      <c r="U128" s="76"/>
      <c r="V128" s="75"/>
      <c r="W128" s="75"/>
      <c r="X128" s="75"/>
      <c r="Y128" s="76"/>
      <c r="Z128" s="76"/>
      <c r="AA128" s="76"/>
      <c r="AB128" s="75"/>
      <c r="AC128" s="75"/>
      <c r="AD128" s="75"/>
      <c r="AE128" s="75"/>
      <c r="AF128" s="75"/>
    </row>
    <row r="129" spans="2:32" x14ac:dyDescent="0.2">
      <c r="B129" s="76"/>
      <c r="C129" s="76"/>
      <c r="D129" s="76"/>
      <c r="E129" s="76"/>
      <c r="F129" s="76"/>
      <c r="G129" s="76"/>
      <c r="H129" s="76"/>
      <c r="I129" s="76"/>
      <c r="J129" s="76"/>
      <c r="K129" s="76"/>
      <c r="L129" s="75"/>
      <c r="M129" s="75"/>
      <c r="N129" s="76"/>
      <c r="O129" s="75"/>
      <c r="P129" s="76"/>
      <c r="Q129" s="76"/>
      <c r="R129" s="76"/>
      <c r="S129" s="76"/>
      <c r="T129" s="76"/>
      <c r="U129" s="76"/>
      <c r="V129" s="75"/>
      <c r="W129" s="75"/>
      <c r="X129" s="75"/>
      <c r="Y129" s="76"/>
      <c r="Z129" s="76"/>
      <c r="AA129" s="76"/>
      <c r="AB129" s="75"/>
      <c r="AC129" s="75"/>
      <c r="AD129" s="75"/>
      <c r="AE129" s="75"/>
      <c r="AF129" s="75"/>
    </row>
    <row r="130" spans="2:32" x14ac:dyDescent="0.2">
      <c r="B130" s="76"/>
      <c r="C130" s="76"/>
      <c r="D130" s="76"/>
      <c r="E130" s="76"/>
      <c r="F130" s="76"/>
      <c r="G130" s="76"/>
      <c r="H130" s="76"/>
      <c r="I130" s="76"/>
      <c r="J130" s="76"/>
      <c r="K130" s="76"/>
      <c r="L130" s="75"/>
      <c r="M130" s="75"/>
      <c r="N130" s="76"/>
      <c r="O130" s="75"/>
      <c r="P130" s="76"/>
      <c r="Q130" s="76"/>
      <c r="R130" s="76"/>
      <c r="S130" s="76"/>
      <c r="T130" s="76"/>
      <c r="U130" s="76"/>
      <c r="V130" s="75"/>
      <c r="W130" s="75"/>
      <c r="X130" s="75"/>
      <c r="Y130" s="76"/>
      <c r="Z130" s="76"/>
      <c r="AA130" s="76"/>
      <c r="AB130" s="75"/>
      <c r="AC130" s="75"/>
      <c r="AD130" s="75"/>
      <c r="AE130" s="75"/>
      <c r="AF130" s="75"/>
    </row>
    <row r="131" spans="2:32" x14ac:dyDescent="0.2">
      <c r="B131" s="76"/>
      <c r="C131" s="76"/>
      <c r="D131" s="76"/>
      <c r="E131" s="76"/>
      <c r="F131" s="76"/>
      <c r="G131" s="76"/>
      <c r="H131" s="76"/>
      <c r="I131" s="76"/>
      <c r="J131" s="76"/>
      <c r="K131" s="76"/>
      <c r="L131" s="75"/>
      <c r="M131" s="75"/>
      <c r="N131" s="76"/>
      <c r="O131" s="75"/>
      <c r="P131" s="76"/>
      <c r="Q131" s="76"/>
      <c r="R131" s="76"/>
      <c r="S131" s="76"/>
      <c r="T131" s="76"/>
      <c r="U131" s="76"/>
      <c r="V131" s="75"/>
      <c r="W131" s="75"/>
      <c r="X131" s="75"/>
      <c r="Y131" s="76"/>
      <c r="Z131" s="76"/>
      <c r="AA131" s="76"/>
      <c r="AB131" s="75"/>
      <c r="AC131" s="75"/>
      <c r="AD131" s="75"/>
      <c r="AE131" s="75"/>
      <c r="AF131" s="75"/>
    </row>
    <row r="132" spans="2:32" x14ac:dyDescent="0.2">
      <c r="B132" s="76"/>
      <c r="C132" s="76"/>
      <c r="D132" s="76"/>
      <c r="E132" s="76"/>
      <c r="F132" s="76"/>
      <c r="G132" s="76"/>
      <c r="H132" s="76"/>
      <c r="I132" s="76"/>
      <c r="J132" s="76"/>
      <c r="K132" s="76"/>
      <c r="L132" s="75"/>
      <c r="M132" s="75"/>
      <c r="N132" s="76"/>
      <c r="O132" s="75"/>
      <c r="P132" s="76"/>
      <c r="Q132" s="76"/>
      <c r="R132" s="76"/>
      <c r="S132" s="76"/>
      <c r="T132" s="76"/>
      <c r="U132" s="76"/>
      <c r="V132" s="75"/>
      <c r="W132" s="75"/>
      <c r="X132" s="75"/>
      <c r="Y132" s="76"/>
      <c r="Z132" s="76"/>
      <c r="AA132" s="76"/>
      <c r="AB132" s="75"/>
      <c r="AC132" s="75"/>
      <c r="AD132" s="75"/>
      <c r="AE132" s="75"/>
      <c r="AF132" s="75"/>
    </row>
    <row r="133" spans="2:32" x14ac:dyDescent="0.2">
      <c r="B133" s="76"/>
      <c r="C133" s="76"/>
      <c r="D133" s="76"/>
      <c r="E133" s="76"/>
      <c r="F133" s="76"/>
      <c r="G133" s="76"/>
      <c r="H133" s="76"/>
      <c r="I133" s="76"/>
      <c r="J133" s="76"/>
      <c r="K133" s="76"/>
      <c r="L133" s="75"/>
      <c r="M133" s="75"/>
      <c r="N133" s="76"/>
      <c r="O133" s="75"/>
      <c r="P133" s="76"/>
      <c r="Q133" s="76"/>
      <c r="R133" s="76"/>
      <c r="S133" s="76"/>
      <c r="T133" s="76"/>
      <c r="U133" s="76"/>
      <c r="V133" s="75"/>
      <c r="W133" s="75"/>
      <c r="X133" s="75"/>
      <c r="Y133" s="76"/>
      <c r="Z133" s="76"/>
      <c r="AA133" s="76"/>
      <c r="AB133" s="75"/>
      <c r="AC133" s="75"/>
      <c r="AD133" s="75"/>
      <c r="AE133" s="75"/>
      <c r="AF133" s="75"/>
    </row>
    <row r="134" spans="2:32" x14ac:dyDescent="0.2">
      <c r="B134" s="76"/>
      <c r="C134" s="76"/>
      <c r="D134" s="76"/>
      <c r="E134" s="76"/>
      <c r="F134" s="76"/>
      <c r="G134" s="76"/>
      <c r="H134" s="76"/>
      <c r="I134" s="76"/>
      <c r="J134" s="76"/>
      <c r="K134" s="76"/>
      <c r="L134" s="75"/>
      <c r="M134" s="75"/>
      <c r="N134" s="76"/>
      <c r="O134" s="75"/>
      <c r="P134" s="76"/>
      <c r="Q134" s="76"/>
      <c r="R134" s="76"/>
      <c r="S134" s="76"/>
      <c r="T134" s="76"/>
      <c r="U134" s="76"/>
      <c r="V134" s="75"/>
      <c r="W134" s="75"/>
      <c r="X134" s="75"/>
      <c r="Y134" s="76"/>
      <c r="Z134" s="76"/>
      <c r="AA134" s="76"/>
      <c r="AB134" s="75"/>
      <c r="AC134" s="75"/>
      <c r="AD134" s="75"/>
      <c r="AE134" s="75"/>
      <c r="AF134" s="75"/>
    </row>
    <row r="135" spans="2:32" x14ac:dyDescent="0.2">
      <c r="B135" s="76"/>
      <c r="C135" s="76"/>
      <c r="D135" s="76"/>
      <c r="E135" s="76"/>
      <c r="F135" s="76"/>
      <c r="G135" s="76"/>
      <c r="H135" s="76"/>
      <c r="I135" s="76"/>
      <c r="J135" s="76"/>
      <c r="K135" s="76"/>
      <c r="L135" s="75"/>
      <c r="M135" s="75"/>
      <c r="N135" s="76"/>
      <c r="O135" s="75"/>
      <c r="P135" s="76"/>
      <c r="Q135" s="76"/>
      <c r="R135" s="76"/>
      <c r="S135" s="76"/>
      <c r="T135" s="76"/>
      <c r="U135" s="76"/>
      <c r="V135" s="75"/>
      <c r="W135" s="75"/>
      <c r="X135" s="75"/>
      <c r="Y135" s="76"/>
      <c r="Z135" s="76"/>
      <c r="AA135" s="76"/>
      <c r="AB135" s="75"/>
      <c r="AC135" s="75"/>
      <c r="AD135" s="75"/>
      <c r="AE135" s="75"/>
      <c r="AF135" s="75"/>
    </row>
    <row r="136" spans="2:32" x14ac:dyDescent="0.2">
      <c r="B136" s="76"/>
      <c r="C136" s="76"/>
      <c r="D136" s="76"/>
      <c r="E136" s="76"/>
      <c r="F136" s="76"/>
      <c r="G136" s="76"/>
      <c r="H136" s="76"/>
      <c r="I136" s="76"/>
      <c r="J136" s="76"/>
      <c r="K136" s="76"/>
      <c r="L136" s="75"/>
      <c r="M136" s="75"/>
      <c r="N136" s="76"/>
      <c r="O136" s="75"/>
      <c r="P136" s="76"/>
      <c r="Q136" s="76"/>
      <c r="R136" s="76"/>
      <c r="S136" s="76"/>
      <c r="T136" s="76"/>
      <c r="U136" s="76"/>
      <c r="V136" s="75"/>
      <c r="W136" s="75"/>
      <c r="X136" s="75"/>
      <c r="Y136" s="76"/>
      <c r="Z136" s="76"/>
      <c r="AA136" s="76"/>
      <c r="AB136" s="75"/>
      <c r="AC136" s="75"/>
      <c r="AD136" s="75"/>
      <c r="AE136" s="75"/>
      <c r="AF136" s="75"/>
    </row>
    <row r="137" spans="2:32" x14ac:dyDescent="0.2">
      <c r="B137" s="76"/>
      <c r="C137" s="76"/>
      <c r="D137" s="76"/>
      <c r="E137" s="76"/>
      <c r="F137" s="76"/>
      <c r="G137" s="76"/>
      <c r="H137" s="76"/>
      <c r="I137" s="76"/>
      <c r="J137" s="76"/>
      <c r="K137" s="76"/>
      <c r="L137" s="75"/>
      <c r="M137" s="75"/>
      <c r="N137" s="76"/>
      <c r="O137" s="75"/>
      <c r="P137" s="76"/>
      <c r="Q137" s="76"/>
      <c r="R137" s="76"/>
      <c r="S137" s="76"/>
      <c r="T137" s="76"/>
      <c r="U137" s="76"/>
      <c r="V137" s="75"/>
      <c r="W137" s="75"/>
      <c r="X137" s="75"/>
      <c r="Y137" s="76"/>
      <c r="Z137" s="76"/>
      <c r="AA137" s="76"/>
      <c r="AB137" s="75"/>
      <c r="AC137" s="75"/>
      <c r="AD137" s="75"/>
      <c r="AE137" s="75"/>
      <c r="AF137" s="75"/>
    </row>
    <row r="138" spans="2:32" x14ac:dyDescent="0.2">
      <c r="B138" s="76"/>
      <c r="C138" s="76"/>
      <c r="D138" s="76"/>
      <c r="E138" s="76"/>
      <c r="F138" s="76"/>
      <c r="G138" s="76"/>
      <c r="H138" s="76"/>
      <c r="I138" s="76"/>
      <c r="J138" s="76"/>
      <c r="K138" s="76"/>
      <c r="L138" s="75"/>
      <c r="M138" s="75"/>
      <c r="N138" s="76"/>
      <c r="O138" s="75"/>
      <c r="P138" s="76"/>
      <c r="Q138" s="76"/>
      <c r="R138" s="76"/>
      <c r="S138" s="76"/>
      <c r="T138" s="76"/>
      <c r="U138" s="76"/>
      <c r="V138" s="75"/>
      <c r="W138" s="75"/>
      <c r="X138" s="75"/>
      <c r="Y138" s="76"/>
      <c r="Z138" s="76"/>
      <c r="AA138" s="76"/>
      <c r="AB138" s="75"/>
      <c r="AC138" s="75"/>
      <c r="AD138" s="75"/>
      <c r="AE138" s="75"/>
      <c r="AF138" s="75"/>
    </row>
    <row r="139" spans="2:32" x14ac:dyDescent="0.2">
      <c r="B139" s="76"/>
      <c r="C139" s="76"/>
      <c r="D139" s="76"/>
      <c r="E139" s="76"/>
      <c r="F139" s="76"/>
      <c r="G139" s="76"/>
      <c r="H139" s="76"/>
      <c r="I139" s="76"/>
      <c r="J139" s="76"/>
      <c r="K139" s="76"/>
      <c r="L139" s="75"/>
      <c r="M139" s="75"/>
      <c r="N139" s="76"/>
      <c r="O139" s="75"/>
      <c r="P139" s="76"/>
      <c r="Q139" s="76"/>
      <c r="R139" s="76"/>
      <c r="S139" s="76"/>
      <c r="T139" s="76"/>
      <c r="U139" s="76"/>
      <c r="V139" s="75"/>
      <c r="W139" s="75"/>
      <c r="X139" s="75"/>
      <c r="Y139" s="76"/>
      <c r="Z139" s="76"/>
      <c r="AA139" s="76"/>
      <c r="AB139" s="75"/>
      <c r="AC139" s="75"/>
      <c r="AD139" s="75"/>
      <c r="AE139" s="75"/>
      <c r="AF139" s="75"/>
    </row>
    <row r="140" spans="2:32" x14ac:dyDescent="0.2">
      <c r="B140" s="76"/>
      <c r="C140" s="76"/>
      <c r="D140" s="76"/>
      <c r="E140" s="76"/>
      <c r="F140" s="76"/>
      <c r="G140" s="76"/>
      <c r="H140" s="76"/>
      <c r="I140" s="76"/>
      <c r="J140" s="76"/>
      <c r="K140" s="76"/>
      <c r="L140" s="75"/>
      <c r="M140" s="75"/>
      <c r="N140" s="76"/>
      <c r="O140" s="75"/>
      <c r="P140" s="76"/>
      <c r="Q140" s="76"/>
      <c r="R140" s="76"/>
      <c r="S140" s="76"/>
      <c r="T140" s="76"/>
      <c r="U140" s="76"/>
      <c r="V140" s="75"/>
      <c r="W140" s="75"/>
      <c r="X140" s="75"/>
      <c r="Y140" s="76"/>
      <c r="Z140" s="76"/>
      <c r="AA140" s="76"/>
      <c r="AB140" s="75"/>
      <c r="AC140" s="75"/>
      <c r="AD140" s="75"/>
      <c r="AE140" s="75"/>
      <c r="AF140" s="75"/>
    </row>
    <row r="141" spans="2:32" x14ac:dyDescent="0.2">
      <c r="B141" s="76"/>
      <c r="C141" s="76"/>
      <c r="D141" s="76"/>
      <c r="E141" s="76"/>
      <c r="F141" s="76"/>
      <c r="G141" s="76"/>
      <c r="H141" s="76"/>
      <c r="I141" s="76"/>
      <c r="J141" s="76"/>
      <c r="K141" s="76"/>
      <c r="L141" s="75"/>
      <c r="M141" s="75"/>
      <c r="N141" s="76"/>
      <c r="O141" s="75"/>
      <c r="P141" s="76"/>
      <c r="Q141" s="76"/>
      <c r="R141" s="76"/>
      <c r="S141" s="76"/>
      <c r="T141" s="76"/>
      <c r="U141" s="76"/>
      <c r="V141" s="75"/>
      <c r="W141" s="75"/>
      <c r="X141" s="75"/>
      <c r="Y141" s="76"/>
      <c r="Z141" s="76"/>
      <c r="AA141" s="76"/>
      <c r="AB141" s="75"/>
      <c r="AC141" s="75"/>
      <c r="AD141" s="75"/>
      <c r="AE141" s="75"/>
      <c r="AF141" s="75"/>
    </row>
    <row r="142" spans="2:32" x14ac:dyDescent="0.2">
      <c r="B142" s="76"/>
      <c r="C142" s="76"/>
      <c r="D142" s="76"/>
      <c r="E142" s="76"/>
      <c r="F142" s="76"/>
      <c r="G142" s="76"/>
      <c r="H142" s="76"/>
      <c r="I142" s="76"/>
      <c r="J142" s="76"/>
      <c r="K142" s="76"/>
      <c r="L142" s="75"/>
      <c r="M142" s="75"/>
      <c r="N142" s="76"/>
      <c r="O142" s="75"/>
      <c r="P142" s="76"/>
      <c r="Q142" s="76"/>
      <c r="R142" s="76"/>
      <c r="S142" s="76"/>
      <c r="T142" s="76"/>
      <c r="U142" s="76"/>
      <c r="V142" s="75"/>
      <c r="W142" s="75"/>
      <c r="X142" s="75"/>
      <c r="Y142" s="76"/>
      <c r="Z142" s="76"/>
      <c r="AA142" s="76"/>
      <c r="AB142" s="75"/>
      <c r="AC142" s="75"/>
      <c r="AD142" s="75"/>
      <c r="AE142" s="75"/>
      <c r="AF142" s="75"/>
    </row>
    <row r="143" spans="2:32" x14ac:dyDescent="0.2">
      <c r="B143" s="76"/>
      <c r="C143" s="76"/>
      <c r="D143" s="76"/>
      <c r="E143" s="76"/>
      <c r="F143" s="76"/>
      <c r="G143" s="76"/>
      <c r="H143" s="76"/>
      <c r="I143" s="76"/>
      <c r="J143" s="76"/>
      <c r="K143" s="76"/>
      <c r="L143" s="75"/>
      <c r="M143" s="75"/>
      <c r="N143" s="76"/>
      <c r="O143" s="75"/>
      <c r="P143" s="76"/>
      <c r="Q143" s="76"/>
      <c r="R143" s="76"/>
      <c r="S143" s="76"/>
      <c r="T143" s="76"/>
      <c r="U143" s="76"/>
      <c r="V143" s="75"/>
      <c r="W143" s="75"/>
      <c r="X143" s="75"/>
      <c r="Y143" s="76"/>
      <c r="Z143" s="76"/>
      <c r="AA143" s="76"/>
      <c r="AB143" s="75"/>
      <c r="AC143" s="75"/>
      <c r="AD143" s="75"/>
      <c r="AE143" s="75"/>
      <c r="AF143" s="75"/>
    </row>
    <row r="144" spans="2:32" x14ac:dyDescent="0.2">
      <c r="B144" s="76"/>
      <c r="C144" s="76"/>
      <c r="D144" s="76"/>
      <c r="E144" s="76"/>
      <c r="F144" s="76"/>
      <c r="G144" s="76"/>
      <c r="H144" s="76"/>
      <c r="I144" s="76"/>
      <c r="J144" s="76"/>
      <c r="K144" s="76"/>
      <c r="L144" s="75"/>
      <c r="M144" s="75"/>
      <c r="N144" s="76"/>
      <c r="O144" s="75"/>
      <c r="P144" s="76"/>
      <c r="Q144" s="76"/>
      <c r="R144" s="76"/>
      <c r="S144" s="76"/>
      <c r="T144" s="76"/>
      <c r="U144" s="76"/>
      <c r="V144" s="75"/>
      <c r="W144" s="75"/>
      <c r="X144" s="75"/>
      <c r="Y144" s="76"/>
      <c r="Z144" s="76"/>
      <c r="AA144" s="76"/>
      <c r="AB144" s="75"/>
      <c r="AC144" s="75"/>
      <c r="AD144" s="75"/>
      <c r="AE144" s="75"/>
      <c r="AF144" s="75"/>
    </row>
    <row r="145" spans="2:32" x14ac:dyDescent="0.2">
      <c r="B145" s="76"/>
      <c r="C145" s="76"/>
      <c r="D145" s="76"/>
      <c r="E145" s="76"/>
      <c r="F145" s="76"/>
      <c r="G145" s="76"/>
      <c r="H145" s="76"/>
      <c r="I145" s="76"/>
      <c r="J145" s="76"/>
      <c r="K145" s="76"/>
      <c r="L145" s="75"/>
      <c r="M145" s="75"/>
      <c r="N145" s="76"/>
      <c r="O145" s="75"/>
      <c r="P145" s="76"/>
      <c r="Q145" s="76"/>
      <c r="R145" s="76"/>
      <c r="S145" s="76"/>
      <c r="T145" s="76"/>
      <c r="U145" s="76"/>
      <c r="V145" s="75"/>
      <c r="W145" s="75"/>
      <c r="X145" s="75"/>
      <c r="Y145" s="76"/>
      <c r="Z145" s="76"/>
      <c r="AA145" s="76"/>
      <c r="AB145" s="75"/>
      <c r="AC145" s="75"/>
      <c r="AD145" s="75"/>
      <c r="AE145" s="75"/>
      <c r="AF145" s="75"/>
    </row>
    <row r="146" spans="2:32" x14ac:dyDescent="0.2">
      <c r="B146" s="76"/>
      <c r="C146" s="76"/>
      <c r="D146" s="76"/>
      <c r="E146" s="76"/>
      <c r="F146" s="76"/>
      <c r="G146" s="76"/>
      <c r="H146" s="76"/>
      <c r="I146" s="76"/>
      <c r="J146" s="76"/>
      <c r="K146" s="76"/>
      <c r="L146" s="75"/>
      <c r="M146" s="75"/>
      <c r="N146" s="76"/>
      <c r="O146" s="75"/>
      <c r="P146" s="76"/>
      <c r="Q146" s="76"/>
      <c r="R146" s="76"/>
      <c r="S146" s="76"/>
      <c r="T146" s="76"/>
      <c r="U146" s="76"/>
      <c r="V146" s="75"/>
      <c r="W146" s="75"/>
      <c r="X146" s="75"/>
      <c r="Y146" s="76"/>
      <c r="Z146" s="76"/>
      <c r="AA146" s="76"/>
      <c r="AB146" s="75"/>
      <c r="AC146" s="75"/>
      <c r="AD146" s="75"/>
      <c r="AE146" s="75"/>
      <c r="AF146" s="75"/>
    </row>
    <row r="147" spans="2:32" x14ac:dyDescent="0.2">
      <c r="B147" s="76"/>
      <c r="C147" s="76"/>
      <c r="D147" s="76"/>
      <c r="E147" s="76"/>
      <c r="F147" s="76"/>
      <c r="G147" s="76"/>
      <c r="H147" s="76"/>
      <c r="I147" s="76"/>
      <c r="J147" s="76"/>
      <c r="K147" s="76"/>
      <c r="L147" s="75"/>
      <c r="M147" s="75"/>
      <c r="N147" s="76"/>
      <c r="O147" s="75"/>
      <c r="P147" s="76"/>
      <c r="Q147" s="76"/>
      <c r="R147" s="76"/>
      <c r="S147" s="76"/>
      <c r="T147" s="76"/>
      <c r="U147" s="76"/>
      <c r="V147" s="75"/>
      <c r="W147" s="75"/>
      <c r="X147" s="75"/>
      <c r="Y147" s="76"/>
      <c r="Z147" s="76"/>
      <c r="AA147" s="76"/>
      <c r="AB147" s="75"/>
      <c r="AC147" s="75"/>
      <c r="AD147" s="75"/>
      <c r="AE147" s="75"/>
      <c r="AF147" s="75"/>
    </row>
    <row r="148" spans="2:32" x14ac:dyDescent="0.2">
      <c r="B148" s="76"/>
      <c r="C148" s="76"/>
      <c r="D148" s="76"/>
      <c r="E148" s="76"/>
      <c r="F148" s="76"/>
      <c r="G148" s="76"/>
      <c r="H148" s="76"/>
      <c r="I148" s="76"/>
      <c r="J148" s="76"/>
      <c r="K148" s="76"/>
      <c r="L148" s="75"/>
      <c r="M148" s="75"/>
      <c r="N148" s="76"/>
      <c r="O148" s="75"/>
      <c r="P148" s="76"/>
      <c r="Q148" s="76"/>
      <c r="R148" s="76"/>
      <c r="S148" s="76"/>
      <c r="T148" s="76"/>
      <c r="U148" s="76"/>
      <c r="V148" s="75"/>
      <c r="W148" s="75"/>
      <c r="X148" s="75"/>
      <c r="Y148" s="76"/>
      <c r="Z148" s="76"/>
      <c r="AA148" s="76"/>
      <c r="AB148" s="75"/>
      <c r="AC148" s="75"/>
      <c r="AD148" s="75"/>
      <c r="AE148" s="75"/>
      <c r="AF148" s="75"/>
    </row>
    <row r="149" spans="2:32" x14ac:dyDescent="0.2">
      <c r="B149" s="76"/>
      <c r="C149" s="76"/>
      <c r="D149" s="76"/>
      <c r="E149" s="76"/>
      <c r="F149" s="76"/>
      <c r="G149" s="76"/>
      <c r="H149" s="76"/>
      <c r="I149" s="76"/>
      <c r="J149" s="76"/>
      <c r="K149" s="76"/>
      <c r="L149" s="75"/>
      <c r="M149" s="75"/>
      <c r="N149" s="76"/>
      <c r="O149" s="75"/>
      <c r="P149" s="76"/>
      <c r="Q149" s="76"/>
      <c r="R149" s="76"/>
      <c r="S149" s="76"/>
      <c r="T149" s="76"/>
      <c r="U149" s="76"/>
      <c r="V149" s="75"/>
      <c r="W149" s="75"/>
      <c r="X149" s="75"/>
      <c r="Y149" s="76"/>
      <c r="Z149" s="76"/>
      <c r="AA149" s="76"/>
      <c r="AB149" s="75"/>
      <c r="AC149" s="75"/>
      <c r="AD149" s="75"/>
      <c r="AE149" s="75"/>
      <c r="AF149" s="75"/>
    </row>
    <row r="150" spans="2:32" x14ac:dyDescent="0.2">
      <c r="B150" s="76"/>
      <c r="C150" s="76"/>
      <c r="D150" s="76"/>
      <c r="E150" s="76"/>
      <c r="F150" s="76"/>
      <c r="G150" s="76"/>
      <c r="H150" s="76"/>
      <c r="I150" s="76"/>
      <c r="J150" s="76"/>
      <c r="K150" s="76"/>
      <c r="L150" s="75"/>
      <c r="M150" s="75"/>
      <c r="N150" s="76"/>
      <c r="O150" s="75"/>
      <c r="P150" s="76"/>
      <c r="Q150" s="76"/>
      <c r="R150" s="76"/>
      <c r="S150" s="76"/>
      <c r="T150" s="76"/>
      <c r="U150" s="76"/>
      <c r="V150" s="75"/>
      <c r="W150" s="75"/>
      <c r="X150" s="75"/>
      <c r="Y150" s="76"/>
      <c r="Z150" s="76"/>
      <c r="AA150" s="76"/>
      <c r="AB150" s="75"/>
      <c r="AC150" s="75"/>
      <c r="AD150" s="75"/>
      <c r="AE150" s="75"/>
      <c r="AF150" s="75"/>
    </row>
    <row r="151" spans="2:32" x14ac:dyDescent="0.2">
      <c r="B151" s="76"/>
      <c r="C151" s="76"/>
      <c r="D151" s="76"/>
      <c r="E151" s="76"/>
      <c r="F151" s="76"/>
      <c r="G151" s="76"/>
      <c r="H151" s="76"/>
      <c r="I151" s="76"/>
      <c r="J151" s="76"/>
      <c r="K151" s="76"/>
      <c r="L151" s="75"/>
      <c r="M151" s="75"/>
      <c r="N151" s="76"/>
      <c r="O151" s="75"/>
      <c r="P151" s="76"/>
      <c r="Q151" s="76"/>
      <c r="R151" s="76"/>
      <c r="S151" s="76"/>
      <c r="T151" s="76"/>
      <c r="U151" s="76"/>
      <c r="V151" s="75"/>
      <c r="W151" s="75"/>
      <c r="X151" s="75"/>
      <c r="Y151" s="76"/>
      <c r="Z151" s="76"/>
      <c r="AA151" s="76"/>
      <c r="AB151" s="75"/>
      <c r="AC151" s="75"/>
      <c r="AD151" s="75"/>
      <c r="AE151" s="75"/>
      <c r="AF151" s="75"/>
    </row>
    <row r="152" spans="2:32" x14ac:dyDescent="0.2">
      <c r="B152" s="76"/>
      <c r="C152" s="76"/>
      <c r="D152" s="76"/>
      <c r="E152" s="76"/>
      <c r="F152" s="76"/>
      <c r="G152" s="76"/>
      <c r="H152" s="76"/>
      <c r="I152" s="76"/>
      <c r="J152" s="76"/>
      <c r="K152" s="76"/>
      <c r="L152" s="75"/>
      <c r="M152" s="75"/>
      <c r="N152" s="76"/>
      <c r="O152" s="75"/>
      <c r="P152" s="76"/>
      <c r="Q152" s="76"/>
      <c r="R152" s="76"/>
      <c r="S152" s="76"/>
      <c r="T152" s="76"/>
      <c r="U152" s="76"/>
      <c r="V152" s="75"/>
      <c r="W152" s="75"/>
      <c r="X152" s="75"/>
      <c r="Y152" s="76"/>
      <c r="Z152" s="76"/>
      <c r="AA152" s="76"/>
      <c r="AB152" s="75"/>
      <c r="AC152" s="75"/>
      <c r="AD152" s="75"/>
      <c r="AE152" s="75"/>
      <c r="AF152" s="75"/>
    </row>
    <row r="153" spans="2:32" x14ac:dyDescent="0.2">
      <c r="B153" s="76"/>
      <c r="C153" s="76"/>
      <c r="D153" s="76"/>
      <c r="E153" s="76"/>
      <c r="F153" s="76"/>
      <c r="G153" s="76"/>
      <c r="H153" s="76"/>
      <c r="I153" s="76"/>
      <c r="J153" s="76"/>
      <c r="K153" s="76"/>
      <c r="L153" s="75"/>
      <c r="M153" s="75"/>
      <c r="N153" s="76"/>
      <c r="O153" s="75"/>
      <c r="P153" s="76"/>
      <c r="Q153" s="76"/>
      <c r="R153" s="76"/>
      <c r="S153" s="76"/>
      <c r="T153" s="76"/>
      <c r="U153" s="76"/>
      <c r="V153" s="75"/>
      <c r="W153" s="75"/>
      <c r="X153" s="75"/>
      <c r="Y153" s="76"/>
      <c r="Z153" s="76"/>
      <c r="AA153" s="76"/>
      <c r="AB153" s="75"/>
      <c r="AC153" s="75"/>
      <c r="AD153" s="75"/>
      <c r="AE153" s="75"/>
      <c r="AF153" s="75"/>
    </row>
    <row r="154" spans="2:32" x14ac:dyDescent="0.2">
      <c r="B154" s="76"/>
      <c r="C154" s="76"/>
      <c r="D154" s="76"/>
      <c r="E154" s="76"/>
      <c r="F154" s="76"/>
      <c r="G154" s="76"/>
      <c r="H154" s="76"/>
      <c r="I154" s="76"/>
      <c r="J154" s="76"/>
      <c r="K154" s="76"/>
      <c r="L154" s="75"/>
      <c r="M154" s="75"/>
      <c r="N154" s="76"/>
      <c r="O154" s="75"/>
      <c r="P154" s="76"/>
      <c r="Q154" s="76"/>
      <c r="R154" s="76"/>
      <c r="S154" s="76"/>
      <c r="T154" s="76"/>
      <c r="U154" s="76"/>
      <c r="V154" s="75"/>
      <c r="W154" s="75"/>
      <c r="X154" s="75"/>
      <c r="Y154" s="76"/>
      <c r="Z154" s="76"/>
      <c r="AA154" s="76"/>
      <c r="AB154" s="75"/>
      <c r="AC154" s="75"/>
      <c r="AD154" s="75"/>
      <c r="AE154" s="75"/>
      <c r="AF154" s="75"/>
    </row>
    <row r="155" spans="2:32" x14ac:dyDescent="0.2">
      <c r="B155" s="76"/>
      <c r="C155" s="76"/>
      <c r="D155" s="76"/>
      <c r="E155" s="76"/>
      <c r="F155" s="76"/>
      <c r="G155" s="76"/>
      <c r="H155" s="76"/>
      <c r="I155" s="76"/>
      <c r="J155" s="76"/>
      <c r="K155" s="76"/>
      <c r="L155" s="75"/>
      <c r="M155" s="75"/>
      <c r="N155" s="76"/>
      <c r="O155" s="75"/>
      <c r="P155" s="76"/>
      <c r="Q155" s="76"/>
      <c r="R155" s="76"/>
      <c r="S155" s="76"/>
      <c r="T155" s="76"/>
      <c r="U155" s="76"/>
      <c r="V155" s="75"/>
      <c r="W155" s="75"/>
      <c r="X155" s="75"/>
      <c r="Y155" s="76"/>
      <c r="Z155" s="76"/>
      <c r="AA155" s="76"/>
      <c r="AB155" s="75"/>
      <c r="AC155" s="75"/>
      <c r="AD155" s="75"/>
      <c r="AE155" s="75"/>
      <c r="AF155" s="75"/>
    </row>
    <row r="156" spans="2:32" x14ac:dyDescent="0.2">
      <c r="B156" s="76"/>
      <c r="C156" s="76"/>
      <c r="D156" s="76"/>
      <c r="E156" s="76"/>
      <c r="F156" s="76"/>
      <c r="G156" s="76"/>
      <c r="H156" s="76"/>
      <c r="I156" s="76"/>
      <c r="J156" s="76"/>
      <c r="K156" s="76"/>
      <c r="L156" s="75"/>
      <c r="M156" s="75"/>
      <c r="N156" s="76"/>
      <c r="O156" s="75"/>
      <c r="P156" s="76"/>
      <c r="Q156" s="76"/>
      <c r="R156" s="76"/>
      <c r="S156" s="76"/>
      <c r="T156" s="76"/>
      <c r="U156" s="76"/>
      <c r="V156" s="75"/>
      <c r="W156" s="75"/>
      <c r="X156" s="75"/>
      <c r="Y156" s="76"/>
      <c r="Z156" s="76"/>
      <c r="AA156" s="76"/>
      <c r="AB156" s="75"/>
      <c r="AC156" s="75"/>
      <c r="AD156" s="75"/>
      <c r="AE156" s="75"/>
      <c r="AF156" s="75"/>
    </row>
    <row r="157" spans="2:32" x14ac:dyDescent="0.2">
      <c r="B157" s="76"/>
      <c r="C157" s="76"/>
      <c r="D157" s="76"/>
      <c r="E157" s="76"/>
      <c r="F157" s="76"/>
      <c r="G157" s="76"/>
      <c r="H157" s="76"/>
      <c r="I157" s="76"/>
      <c r="J157" s="76"/>
      <c r="K157" s="76"/>
      <c r="L157" s="75"/>
      <c r="M157" s="75"/>
      <c r="N157" s="76"/>
      <c r="O157" s="75"/>
      <c r="P157" s="76"/>
      <c r="Q157" s="76"/>
      <c r="R157" s="76"/>
      <c r="S157" s="76"/>
      <c r="T157" s="76"/>
      <c r="U157" s="76"/>
      <c r="V157" s="75"/>
      <c r="W157" s="75"/>
      <c r="X157" s="75"/>
      <c r="Y157" s="76"/>
      <c r="Z157" s="76"/>
      <c r="AA157" s="76"/>
      <c r="AB157" s="75"/>
      <c r="AC157" s="75"/>
      <c r="AD157" s="75"/>
      <c r="AE157" s="75"/>
      <c r="AF157" s="75"/>
    </row>
    <row r="158" spans="2:32" x14ac:dyDescent="0.2">
      <c r="B158" s="76"/>
      <c r="C158" s="76"/>
      <c r="D158" s="76"/>
      <c r="E158" s="76"/>
      <c r="F158" s="76"/>
      <c r="G158" s="76"/>
      <c r="H158" s="76"/>
      <c r="I158" s="76"/>
      <c r="J158" s="76"/>
      <c r="K158" s="76"/>
      <c r="L158" s="75"/>
      <c r="M158" s="75"/>
      <c r="N158" s="76"/>
      <c r="O158" s="75"/>
      <c r="P158" s="76"/>
      <c r="Q158" s="76"/>
      <c r="R158" s="76"/>
      <c r="S158" s="76"/>
      <c r="T158" s="76"/>
      <c r="U158" s="76"/>
      <c r="V158" s="75"/>
      <c r="W158" s="75"/>
      <c r="X158" s="75"/>
      <c r="Y158" s="76"/>
      <c r="Z158" s="76"/>
      <c r="AA158" s="76"/>
      <c r="AB158" s="75"/>
      <c r="AC158" s="75"/>
      <c r="AD158" s="75"/>
      <c r="AE158" s="75"/>
      <c r="AF158" s="75"/>
    </row>
    <row r="159" spans="2:32" x14ac:dyDescent="0.2">
      <c r="B159" s="76"/>
      <c r="C159" s="76"/>
      <c r="D159" s="76"/>
      <c r="E159" s="76"/>
      <c r="F159" s="76"/>
      <c r="G159" s="76"/>
      <c r="H159" s="76"/>
      <c r="I159" s="76"/>
      <c r="J159" s="76"/>
      <c r="K159" s="76"/>
      <c r="L159" s="75"/>
      <c r="M159" s="75"/>
      <c r="N159" s="76"/>
      <c r="O159" s="75"/>
      <c r="P159" s="76"/>
      <c r="Q159" s="76"/>
      <c r="R159" s="76"/>
      <c r="S159" s="76"/>
      <c r="T159" s="76"/>
      <c r="U159" s="76"/>
      <c r="V159" s="75"/>
      <c r="W159" s="75"/>
      <c r="X159" s="75"/>
      <c r="Y159" s="76"/>
      <c r="Z159" s="76"/>
      <c r="AA159" s="76"/>
      <c r="AB159" s="75"/>
      <c r="AC159" s="75"/>
      <c r="AD159" s="75"/>
      <c r="AE159" s="75"/>
      <c r="AF159" s="75"/>
    </row>
    <row r="160" spans="2:32" x14ac:dyDescent="0.2">
      <c r="B160" s="76"/>
      <c r="C160" s="76"/>
      <c r="D160" s="76"/>
      <c r="E160" s="76"/>
      <c r="F160" s="76"/>
      <c r="G160" s="76"/>
      <c r="H160" s="76"/>
      <c r="I160" s="76"/>
      <c r="J160" s="76"/>
      <c r="K160" s="76"/>
      <c r="L160" s="75"/>
      <c r="M160" s="75"/>
      <c r="N160" s="76"/>
      <c r="O160" s="75"/>
      <c r="P160" s="76"/>
      <c r="Q160" s="76"/>
      <c r="R160" s="76"/>
      <c r="S160" s="76"/>
      <c r="T160" s="76"/>
      <c r="U160" s="76"/>
      <c r="V160" s="75"/>
      <c r="W160" s="75"/>
      <c r="X160" s="75"/>
      <c r="Y160" s="76"/>
      <c r="Z160" s="76"/>
      <c r="AA160" s="76"/>
      <c r="AB160" s="75"/>
      <c r="AC160" s="75"/>
      <c r="AD160" s="75"/>
      <c r="AE160" s="75"/>
      <c r="AF160" s="75"/>
    </row>
    <row r="161" spans="2:32" x14ac:dyDescent="0.2">
      <c r="B161" s="76"/>
      <c r="C161" s="76"/>
      <c r="D161" s="76"/>
      <c r="E161" s="76"/>
      <c r="F161" s="76"/>
      <c r="G161" s="76"/>
      <c r="H161" s="76"/>
      <c r="I161" s="76"/>
      <c r="J161" s="76"/>
      <c r="K161" s="76"/>
      <c r="L161" s="75"/>
      <c r="M161" s="75"/>
      <c r="N161" s="76"/>
      <c r="O161" s="75"/>
      <c r="P161" s="76"/>
      <c r="Q161" s="76"/>
      <c r="R161" s="76"/>
      <c r="S161" s="76"/>
      <c r="T161" s="76"/>
      <c r="U161" s="76"/>
      <c r="V161" s="75"/>
      <c r="W161" s="75"/>
      <c r="X161" s="75"/>
      <c r="Y161" s="76"/>
      <c r="Z161" s="76"/>
      <c r="AA161" s="76"/>
      <c r="AB161" s="75"/>
      <c r="AC161" s="75"/>
      <c r="AD161" s="75"/>
      <c r="AE161" s="75"/>
      <c r="AF161" s="75"/>
    </row>
    <row r="162" spans="2:32" x14ac:dyDescent="0.2">
      <c r="B162" s="76"/>
      <c r="C162" s="76"/>
      <c r="D162" s="76"/>
      <c r="E162" s="76"/>
      <c r="F162" s="76"/>
      <c r="G162" s="76"/>
      <c r="H162" s="76"/>
      <c r="I162" s="76"/>
      <c r="J162" s="76"/>
      <c r="K162" s="76"/>
      <c r="L162" s="75"/>
      <c r="M162" s="75"/>
      <c r="N162" s="76"/>
      <c r="O162" s="75"/>
      <c r="P162" s="76"/>
      <c r="Q162" s="76"/>
      <c r="R162" s="76"/>
      <c r="S162" s="76"/>
      <c r="T162" s="76"/>
      <c r="U162" s="76"/>
      <c r="V162" s="75"/>
      <c r="W162" s="75"/>
      <c r="X162" s="75"/>
      <c r="Y162" s="76"/>
      <c r="Z162" s="76"/>
      <c r="AA162" s="76"/>
      <c r="AB162" s="75"/>
      <c r="AC162" s="75"/>
      <c r="AD162" s="75"/>
      <c r="AE162" s="75"/>
      <c r="AF162" s="75"/>
    </row>
    <row r="163" spans="2:32" x14ac:dyDescent="0.2">
      <c r="B163" s="76"/>
      <c r="C163" s="76"/>
      <c r="D163" s="76"/>
      <c r="E163" s="76"/>
      <c r="F163" s="76"/>
      <c r="G163" s="76"/>
      <c r="H163" s="76"/>
      <c r="I163" s="76"/>
      <c r="J163" s="76"/>
      <c r="K163" s="76"/>
      <c r="L163" s="75"/>
      <c r="M163" s="75"/>
      <c r="N163" s="76"/>
      <c r="O163" s="75"/>
      <c r="P163" s="76"/>
      <c r="Q163" s="76"/>
      <c r="R163" s="76"/>
      <c r="S163" s="76"/>
      <c r="T163" s="76"/>
      <c r="U163" s="76"/>
      <c r="V163" s="75"/>
      <c r="W163" s="75"/>
      <c r="X163" s="75"/>
      <c r="Y163" s="76"/>
      <c r="Z163" s="76"/>
      <c r="AA163" s="76"/>
      <c r="AB163" s="75"/>
      <c r="AC163" s="75"/>
      <c r="AD163" s="75"/>
      <c r="AE163" s="75"/>
      <c r="AF163" s="75"/>
    </row>
    <row r="164" spans="2:32" x14ac:dyDescent="0.2">
      <c r="B164" s="76"/>
      <c r="C164" s="76"/>
      <c r="D164" s="76"/>
      <c r="E164" s="76"/>
      <c r="F164" s="76"/>
      <c r="G164" s="76"/>
      <c r="H164" s="76"/>
      <c r="I164" s="76"/>
      <c r="J164" s="76"/>
      <c r="K164" s="76"/>
      <c r="L164" s="75"/>
      <c r="M164" s="75"/>
      <c r="N164" s="76"/>
      <c r="O164" s="75"/>
      <c r="P164" s="76"/>
      <c r="Q164" s="76"/>
      <c r="R164" s="76"/>
      <c r="S164" s="76"/>
      <c r="T164" s="76"/>
      <c r="U164" s="76"/>
      <c r="V164" s="75"/>
      <c r="W164" s="75"/>
      <c r="X164" s="75"/>
      <c r="Y164" s="76"/>
      <c r="Z164" s="76"/>
      <c r="AA164" s="76"/>
      <c r="AB164" s="75"/>
      <c r="AC164" s="75"/>
      <c r="AD164" s="75"/>
      <c r="AE164" s="75"/>
      <c r="AF164" s="75"/>
    </row>
    <row r="165" spans="2:32" x14ac:dyDescent="0.2">
      <c r="B165" s="76"/>
      <c r="C165" s="76"/>
      <c r="D165" s="76"/>
      <c r="E165" s="76"/>
      <c r="F165" s="76"/>
      <c r="G165" s="76"/>
      <c r="H165" s="76"/>
      <c r="I165" s="76"/>
      <c r="J165" s="76"/>
      <c r="K165" s="76"/>
      <c r="L165" s="75"/>
      <c r="M165" s="75"/>
      <c r="N165" s="76"/>
      <c r="O165" s="75"/>
      <c r="P165" s="76"/>
      <c r="Q165" s="76"/>
      <c r="R165" s="76"/>
      <c r="S165" s="76"/>
      <c r="T165" s="76"/>
      <c r="U165" s="76"/>
      <c r="V165" s="75"/>
      <c r="W165" s="75"/>
      <c r="X165" s="75"/>
      <c r="Y165" s="76"/>
      <c r="Z165" s="76"/>
      <c r="AA165" s="76"/>
      <c r="AB165" s="75"/>
      <c r="AC165" s="75"/>
      <c r="AD165" s="75"/>
      <c r="AE165" s="75"/>
      <c r="AF165" s="75"/>
    </row>
    <row r="166" spans="2:32" x14ac:dyDescent="0.2">
      <c r="B166" s="76"/>
      <c r="C166" s="76"/>
      <c r="D166" s="76"/>
      <c r="E166" s="76"/>
      <c r="F166" s="76"/>
      <c r="G166" s="76"/>
      <c r="H166" s="76"/>
      <c r="I166" s="76"/>
      <c r="J166" s="76"/>
      <c r="K166" s="76"/>
      <c r="L166" s="75"/>
      <c r="M166" s="75"/>
      <c r="N166" s="76"/>
      <c r="O166" s="75"/>
      <c r="P166" s="76"/>
      <c r="Q166" s="76"/>
      <c r="R166" s="76"/>
      <c r="S166" s="76"/>
      <c r="T166" s="76"/>
      <c r="U166" s="76"/>
      <c r="V166" s="75"/>
      <c r="W166" s="75"/>
      <c r="X166" s="75"/>
      <c r="Y166" s="76"/>
      <c r="Z166" s="76"/>
      <c r="AA166" s="76"/>
      <c r="AB166" s="75"/>
      <c r="AC166" s="75"/>
      <c r="AD166" s="75"/>
      <c r="AE166" s="75"/>
      <c r="AF166" s="75"/>
    </row>
    <row r="167" spans="2:32" x14ac:dyDescent="0.2">
      <c r="B167" s="76"/>
      <c r="C167" s="76"/>
      <c r="D167" s="76"/>
      <c r="E167" s="76"/>
      <c r="F167" s="76"/>
      <c r="G167" s="76"/>
      <c r="H167" s="76"/>
      <c r="I167" s="76"/>
      <c r="J167" s="76"/>
      <c r="K167" s="76"/>
      <c r="L167" s="75"/>
      <c r="M167" s="75"/>
      <c r="N167" s="76"/>
      <c r="O167" s="75"/>
      <c r="P167" s="76"/>
      <c r="Q167" s="76"/>
      <c r="R167" s="76"/>
      <c r="S167" s="76"/>
      <c r="T167" s="76"/>
      <c r="U167" s="76"/>
      <c r="V167" s="75"/>
      <c r="W167" s="75"/>
      <c r="X167" s="75"/>
      <c r="Y167" s="76"/>
      <c r="Z167" s="76"/>
      <c r="AA167" s="76"/>
      <c r="AB167" s="75"/>
      <c r="AC167" s="75"/>
      <c r="AD167" s="75"/>
      <c r="AE167" s="75"/>
      <c r="AF167" s="75"/>
    </row>
    <row r="168" spans="2:32" x14ac:dyDescent="0.2">
      <c r="B168" s="76"/>
      <c r="C168" s="76"/>
      <c r="D168" s="76"/>
      <c r="E168" s="76"/>
      <c r="F168" s="76"/>
      <c r="G168" s="76"/>
      <c r="H168" s="76"/>
      <c r="I168" s="76"/>
      <c r="J168" s="76"/>
      <c r="K168" s="76"/>
      <c r="L168" s="75"/>
      <c r="M168" s="75"/>
      <c r="N168" s="76"/>
      <c r="O168" s="75"/>
      <c r="P168" s="76"/>
      <c r="Q168" s="76"/>
      <c r="R168" s="76"/>
      <c r="S168" s="76"/>
      <c r="T168" s="76"/>
      <c r="U168" s="76"/>
      <c r="V168" s="75"/>
      <c r="W168" s="75"/>
      <c r="X168" s="75"/>
      <c r="Y168" s="76"/>
      <c r="Z168" s="76"/>
      <c r="AA168" s="76"/>
      <c r="AB168" s="75"/>
      <c r="AC168" s="75"/>
      <c r="AD168" s="75"/>
      <c r="AE168" s="75"/>
      <c r="AF168" s="75"/>
    </row>
    <row r="169" spans="2:32" x14ac:dyDescent="0.2">
      <c r="B169" s="76"/>
      <c r="C169" s="76"/>
      <c r="D169" s="76"/>
      <c r="E169" s="76"/>
      <c r="F169" s="76"/>
      <c r="G169" s="76"/>
      <c r="H169" s="76"/>
      <c r="I169" s="76"/>
      <c r="J169" s="76"/>
      <c r="K169" s="76"/>
      <c r="L169" s="75"/>
      <c r="M169" s="75"/>
      <c r="N169" s="76"/>
      <c r="O169" s="75"/>
      <c r="P169" s="76"/>
      <c r="Q169" s="76"/>
      <c r="R169" s="76"/>
      <c r="S169" s="76"/>
      <c r="T169" s="76"/>
      <c r="U169" s="76"/>
      <c r="V169" s="75"/>
      <c r="W169" s="75"/>
      <c r="X169" s="75"/>
      <c r="Y169" s="76"/>
      <c r="Z169" s="76"/>
      <c r="AA169" s="76"/>
      <c r="AB169" s="75"/>
      <c r="AC169" s="75"/>
      <c r="AD169" s="75"/>
      <c r="AE169" s="75"/>
      <c r="AF169" s="75"/>
    </row>
    <row r="170" spans="2:32" x14ac:dyDescent="0.2">
      <c r="B170" s="76"/>
      <c r="C170" s="76"/>
      <c r="D170" s="76"/>
      <c r="E170" s="76"/>
      <c r="F170" s="76"/>
      <c r="G170" s="76"/>
      <c r="H170" s="76"/>
      <c r="I170" s="76"/>
      <c r="J170" s="76"/>
      <c r="K170" s="76"/>
      <c r="L170" s="75"/>
      <c r="M170" s="75"/>
      <c r="N170" s="76"/>
      <c r="O170" s="75"/>
      <c r="P170" s="76"/>
      <c r="Q170" s="76"/>
      <c r="R170" s="76"/>
      <c r="S170" s="76"/>
      <c r="T170" s="76"/>
      <c r="U170" s="76"/>
      <c r="V170" s="75"/>
      <c r="W170" s="75"/>
      <c r="X170" s="75"/>
      <c r="Y170" s="76"/>
      <c r="Z170" s="76"/>
      <c r="AA170" s="76"/>
      <c r="AB170" s="75"/>
      <c r="AC170" s="75"/>
      <c r="AD170" s="75"/>
      <c r="AE170" s="75"/>
      <c r="AF170" s="75"/>
    </row>
    <row r="171" spans="2:32" x14ac:dyDescent="0.2">
      <c r="B171" s="76"/>
      <c r="C171" s="76"/>
      <c r="D171" s="76"/>
      <c r="E171" s="76"/>
      <c r="F171" s="76"/>
      <c r="G171" s="76"/>
      <c r="H171" s="76"/>
      <c r="I171" s="76"/>
      <c r="J171" s="76"/>
      <c r="K171" s="76"/>
      <c r="L171" s="75"/>
      <c r="M171" s="75"/>
      <c r="N171" s="76"/>
      <c r="O171" s="75"/>
      <c r="P171" s="76"/>
      <c r="Q171" s="76"/>
      <c r="R171" s="76"/>
      <c r="S171" s="76"/>
      <c r="T171" s="76"/>
      <c r="U171" s="76"/>
      <c r="V171" s="75"/>
      <c r="W171" s="75"/>
      <c r="X171" s="75"/>
      <c r="Y171" s="76"/>
      <c r="Z171" s="76"/>
      <c r="AA171" s="76"/>
      <c r="AB171" s="75"/>
      <c r="AC171" s="75"/>
      <c r="AD171" s="75"/>
      <c r="AE171" s="75"/>
      <c r="AF171" s="75"/>
    </row>
    <row r="172" spans="2:32" x14ac:dyDescent="0.2">
      <c r="B172" s="76"/>
      <c r="C172" s="76"/>
      <c r="D172" s="76"/>
      <c r="E172" s="76"/>
      <c r="F172" s="76"/>
      <c r="G172" s="76"/>
      <c r="H172" s="76"/>
      <c r="I172" s="76"/>
      <c r="J172" s="76"/>
      <c r="K172" s="76"/>
      <c r="L172" s="75"/>
      <c r="M172" s="75"/>
      <c r="N172" s="76"/>
      <c r="O172" s="75"/>
      <c r="P172" s="76"/>
      <c r="Q172" s="76"/>
      <c r="R172" s="76"/>
      <c r="S172" s="76"/>
      <c r="T172" s="76"/>
      <c r="U172" s="76"/>
      <c r="V172" s="75"/>
      <c r="W172" s="75"/>
      <c r="X172" s="75"/>
      <c r="Y172" s="76"/>
      <c r="Z172" s="76"/>
      <c r="AA172" s="76"/>
      <c r="AB172" s="75"/>
      <c r="AC172" s="75"/>
      <c r="AD172" s="75"/>
      <c r="AE172" s="75"/>
      <c r="AF172" s="75"/>
    </row>
    <row r="173" spans="2:32" x14ac:dyDescent="0.2">
      <c r="B173" s="76"/>
      <c r="C173" s="76"/>
      <c r="D173" s="76"/>
      <c r="E173" s="76"/>
      <c r="F173" s="76"/>
      <c r="G173" s="76"/>
      <c r="H173" s="76"/>
      <c r="I173" s="76"/>
      <c r="J173" s="76"/>
      <c r="K173" s="76"/>
      <c r="L173" s="75"/>
      <c r="M173" s="75"/>
      <c r="N173" s="76"/>
      <c r="O173" s="75"/>
      <c r="P173" s="76"/>
      <c r="Q173" s="76"/>
      <c r="R173" s="76"/>
      <c r="S173" s="76"/>
      <c r="T173" s="76"/>
      <c r="U173" s="76"/>
      <c r="V173" s="75"/>
      <c r="W173" s="75"/>
      <c r="X173" s="75"/>
      <c r="Y173" s="76"/>
      <c r="Z173" s="76"/>
      <c r="AA173" s="76"/>
      <c r="AB173" s="75"/>
      <c r="AC173" s="75"/>
      <c r="AD173" s="75"/>
      <c r="AE173" s="75"/>
      <c r="AF173" s="75"/>
    </row>
    <row r="174" spans="2:32" x14ac:dyDescent="0.2">
      <c r="B174" s="76"/>
      <c r="C174" s="76"/>
      <c r="D174" s="76"/>
      <c r="E174" s="76"/>
      <c r="F174" s="76"/>
      <c r="G174" s="76"/>
      <c r="H174" s="76"/>
      <c r="I174" s="76"/>
      <c r="J174" s="76"/>
      <c r="K174" s="76"/>
      <c r="L174" s="75"/>
      <c r="M174" s="75"/>
      <c r="N174" s="76"/>
      <c r="O174" s="75"/>
      <c r="P174" s="76"/>
      <c r="Q174" s="76"/>
      <c r="R174" s="76"/>
      <c r="S174" s="76"/>
      <c r="T174" s="76"/>
      <c r="U174" s="76"/>
      <c r="V174" s="75"/>
      <c r="W174" s="75"/>
      <c r="X174" s="75"/>
      <c r="Y174" s="76"/>
      <c r="Z174" s="76"/>
      <c r="AA174" s="76"/>
      <c r="AB174" s="75"/>
      <c r="AC174" s="75"/>
      <c r="AD174" s="75"/>
      <c r="AE174" s="75"/>
      <c r="AF174" s="75"/>
    </row>
    <row r="175" spans="2:32" x14ac:dyDescent="0.2">
      <c r="B175" s="76"/>
      <c r="C175" s="76"/>
      <c r="D175" s="76"/>
      <c r="E175" s="76"/>
      <c r="F175" s="76"/>
      <c r="G175" s="76"/>
      <c r="H175" s="76"/>
      <c r="I175" s="76"/>
      <c r="J175" s="76"/>
      <c r="K175" s="76"/>
      <c r="L175" s="75"/>
      <c r="M175" s="75"/>
      <c r="N175" s="76"/>
      <c r="O175" s="75"/>
      <c r="P175" s="76"/>
      <c r="Q175" s="76"/>
      <c r="R175" s="76"/>
      <c r="S175" s="76"/>
      <c r="T175" s="76"/>
      <c r="U175" s="76"/>
      <c r="V175" s="75"/>
      <c r="W175" s="75"/>
      <c r="X175" s="75"/>
      <c r="Y175" s="76"/>
      <c r="Z175" s="76"/>
      <c r="AA175" s="76"/>
      <c r="AB175" s="75"/>
      <c r="AC175" s="75"/>
      <c r="AD175" s="75"/>
      <c r="AE175" s="75"/>
      <c r="AF175" s="75"/>
    </row>
    <row r="176" spans="2:32" x14ac:dyDescent="0.2">
      <c r="B176" s="76"/>
      <c r="C176" s="76"/>
      <c r="D176" s="76"/>
      <c r="E176" s="76"/>
      <c r="F176" s="76"/>
      <c r="G176" s="76"/>
      <c r="H176" s="76"/>
      <c r="I176" s="76"/>
      <c r="J176" s="76"/>
      <c r="K176" s="76"/>
      <c r="L176" s="75"/>
      <c r="M176" s="75"/>
      <c r="N176" s="76"/>
      <c r="O176" s="75"/>
      <c r="P176" s="76"/>
      <c r="Q176" s="76"/>
      <c r="R176" s="76"/>
      <c r="S176" s="76"/>
      <c r="T176" s="76"/>
      <c r="U176" s="76"/>
      <c r="V176" s="75"/>
      <c r="W176" s="75"/>
      <c r="X176" s="75"/>
      <c r="Y176" s="76"/>
      <c r="Z176" s="76"/>
      <c r="AA176" s="76"/>
      <c r="AB176" s="75"/>
      <c r="AC176" s="75"/>
      <c r="AD176" s="75"/>
      <c r="AE176" s="75"/>
      <c r="AF176" s="75"/>
    </row>
    <row r="177" spans="2:32" x14ac:dyDescent="0.2">
      <c r="B177" s="76"/>
      <c r="C177" s="76"/>
      <c r="D177" s="76"/>
      <c r="E177" s="76"/>
      <c r="F177" s="76"/>
      <c r="G177" s="76"/>
      <c r="H177" s="76"/>
      <c r="I177" s="76"/>
      <c r="J177" s="76"/>
      <c r="K177" s="76"/>
      <c r="L177" s="75"/>
      <c r="M177" s="75"/>
      <c r="N177" s="76"/>
      <c r="O177" s="75"/>
      <c r="P177" s="76"/>
      <c r="Q177" s="76"/>
      <c r="R177" s="76"/>
      <c r="S177" s="76"/>
      <c r="T177" s="76"/>
      <c r="U177" s="76"/>
      <c r="V177" s="75"/>
      <c r="W177" s="75"/>
      <c r="X177" s="75"/>
      <c r="Y177" s="76"/>
      <c r="Z177" s="76"/>
      <c r="AA177" s="76"/>
      <c r="AB177" s="75"/>
      <c r="AC177" s="75"/>
      <c r="AD177" s="75"/>
      <c r="AE177" s="75"/>
      <c r="AF177" s="75"/>
    </row>
    <row r="178" spans="2:32" x14ac:dyDescent="0.2">
      <c r="B178" s="76"/>
      <c r="C178" s="76"/>
      <c r="D178" s="76"/>
      <c r="E178" s="76"/>
      <c r="F178" s="76"/>
      <c r="G178" s="76"/>
      <c r="H178" s="76"/>
      <c r="I178" s="76"/>
      <c r="J178" s="76"/>
      <c r="K178" s="76"/>
      <c r="L178" s="75"/>
      <c r="M178" s="75"/>
      <c r="N178" s="76"/>
      <c r="O178" s="75"/>
      <c r="P178" s="76"/>
      <c r="Q178" s="76"/>
      <c r="R178" s="76"/>
      <c r="S178" s="76"/>
      <c r="T178" s="76"/>
      <c r="U178" s="76"/>
      <c r="V178" s="75"/>
      <c r="W178" s="75"/>
      <c r="X178" s="75"/>
      <c r="Y178" s="76"/>
      <c r="Z178" s="76"/>
      <c r="AA178" s="76"/>
      <c r="AB178" s="75"/>
      <c r="AC178" s="75"/>
      <c r="AD178" s="75"/>
      <c r="AE178" s="75"/>
      <c r="AF178" s="75"/>
    </row>
    <row r="179" spans="2:32" x14ac:dyDescent="0.2">
      <c r="B179" s="76"/>
      <c r="C179" s="76"/>
      <c r="D179" s="76"/>
      <c r="E179" s="76"/>
      <c r="F179" s="76"/>
      <c r="G179" s="76"/>
      <c r="H179" s="76"/>
      <c r="I179" s="76"/>
      <c r="J179" s="76"/>
      <c r="K179" s="76"/>
      <c r="L179" s="75"/>
      <c r="M179" s="75"/>
      <c r="N179" s="76"/>
      <c r="O179" s="75"/>
      <c r="P179" s="76"/>
      <c r="Q179" s="76"/>
      <c r="R179" s="76"/>
      <c r="S179" s="76"/>
      <c r="T179" s="76"/>
      <c r="U179" s="76"/>
      <c r="V179" s="75"/>
      <c r="W179" s="75"/>
      <c r="X179" s="75"/>
      <c r="Y179" s="76"/>
      <c r="Z179" s="76"/>
      <c r="AA179" s="76"/>
      <c r="AB179" s="75"/>
      <c r="AC179" s="75"/>
      <c r="AD179" s="75"/>
      <c r="AE179" s="75"/>
      <c r="AF179" s="75"/>
    </row>
    <row r="180" spans="2:32" x14ac:dyDescent="0.2">
      <c r="B180" s="76"/>
      <c r="C180" s="76"/>
      <c r="D180" s="76"/>
      <c r="E180" s="76"/>
      <c r="F180" s="76"/>
      <c r="G180" s="76"/>
      <c r="H180" s="76"/>
      <c r="I180" s="76"/>
      <c r="J180" s="76"/>
      <c r="K180" s="76"/>
      <c r="L180" s="75"/>
      <c r="M180" s="75"/>
      <c r="N180" s="76"/>
      <c r="O180" s="75"/>
      <c r="P180" s="76"/>
      <c r="Q180" s="76"/>
      <c r="R180" s="76"/>
      <c r="S180" s="76"/>
      <c r="T180" s="76"/>
      <c r="U180" s="76"/>
      <c r="V180" s="75"/>
      <c r="W180" s="75"/>
      <c r="X180" s="75"/>
      <c r="Y180" s="76"/>
      <c r="Z180" s="76"/>
      <c r="AA180" s="76"/>
      <c r="AB180" s="75"/>
      <c r="AC180" s="75"/>
      <c r="AD180" s="75"/>
      <c r="AE180" s="75"/>
      <c r="AF180" s="75"/>
    </row>
    <row r="181" spans="2:32" x14ac:dyDescent="0.2">
      <c r="B181" s="76"/>
      <c r="C181" s="76"/>
      <c r="D181" s="76"/>
      <c r="E181" s="76"/>
      <c r="F181" s="76"/>
      <c r="G181" s="76"/>
      <c r="H181" s="76"/>
      <c r="I181" s="76"/>
      <c r="J181" s="76"/>
      <c r="K181" s="76"/>
      <c r="L181" s="75"/>
      <c r="M181" s="75"/>
      <c r="N181" s="76"/>
      <c r="O181" s="75"/>
      <c r="P181" s="76"/>
      <c r="Q181" s="76"/>
      <c r="R181" s="76"/>
      <c r="S181" s="76"/>
      <c r="T181" s="76"/>
      <c r="U181" s="76"/>
      <c r="V181" s="75"/>
      <c r="W181" s="75"/>
      <c r="X181" s="75"/>
      <c r="Y181" s="76"/>
      <c r="Z181" s="76"/>
      <c r="AA181" s="76"/>
      <c r="AB181" s="75"/>
      <c r="AC181" s="75"/>
      <c r="AD181" s="75"/>
      <c r="AE181" s="75"/>
      <c r="AF181" s="75"/>
    </row>
    <row r="182" spans="2:32" x14ac:dyDescent="0.2">
      <c r="B182" s="76"/>
      <c r="C182" s="76"/>
      <c r="D182" s="76"/>
      <c r="E182" s="76"/>
      <c r="F182" s="76"/>
      <c r="G182" s="76"/>
      <c r="H182" s="76"/>
      <c r="I182" s="76"/>
      <c r="J182" s="76"/>
      <c r="K182" s="76"/>
      <c r="L182" s="75"/>
      <c r="M182" s="75"/>
      <c r="N182" s="76"/>
      <c r="O182" s="75"/>
      <c r="P182" s="76"/>
      <c r="Q182" s="76"/>
      <c r="R182" s="76"/>
      <c r="S182" s="76"/>
      <c r="T182" s="76"/>
      <c r="U182" s="76"/>
      <c r="V182" s="75"/>
      <c r="W182" s="75"/>
      <c r="X182" s="75"/>
      <c r="Y182" s="76"/>
      <c r="Z182" s="76"/>
      <c r="AA182" s="76"/>
      <c r="AB182" s="75"/>
      <c r="AC182" s="75"/>
      <c r="AD182" s="75"/>
      <c r="AE182" s="75"/>
      <c r="AF182" s="75"/>
    </row>
    <row r="183" spans="2:32" x14ac:dyDescent="0.2">
      <c r="B183" s="76"/>
      <c r="C183" s="76"/>
      <c r="D183" s="76"/>
      <c r="E183" s="76"/>
      <c r="F183" s="76"/>
      <c r="G183" s="76"/>
      <c r="H183" s="76"/>
      <c r="I183" s="76"/>
      <c r="J183" s="76"/>
      <c r="K183" s="76"/>
      <c r="L183" s="75"/>
      <c r="M183" s="75"/>
      <c r="N183" s="76"/>
      <c r="O183" s="75"/>
      <c r="P183" s="76"/>
      <c r="Q183" s="76"/>
      <c r="R183" s="76"/>
      <c r="S183" s="76"/>
      <c r="T183" s="76"/>
      <c r="U183" s="76"/>
      <c r="V183" s="75"/>
      <c r="W183" s="75"/>
      <c r="X183" s="75"/>
      <c r="Y183" s="76"/>
      <c r="Z183" s="76"/>
      <c r="AA183" s="76"/>
      <c r="AB183" s="75"/>
      <c r="AC183" s="75"/>
      <c r="AD183" s="75"/>
      <c r="AE183" s="75"/>
      <c r="AF183" s="75"/>
    </row>
    <row r="184" spans="2:32" x14ac:dyDescent="0.2">
      <c r="B184" s="76"/>
      <c r="C184" s="76"/>
      <c r="D184" s="76"/>
      <c r="E184" s="76"/>
      <c r="F184" s="76"/>
      <c r="G184" s="76"/>
      <c r="H184" s="76"/>
      <c r="I184" s="76"/>
      <c r="J184" s="76"/>
      <c r="K184" s="76"/>
      <c r="L184" s="75"/>
      <c r="M184" s="75"/>
      <c r="N184" s="76"/>
      <c r="O184" s="75"/>
      <c r="P184" s="76"/>
      <c r="Q184" s="76"/>
      <c r="R184" s="76"/>
      <c r="S184" s="76"/>
      <c r="T184" s="76"/>
      <c r="U184" s="76"/>
      <c r="V184" s="75"/>
      <c r="W184" s="75"/>
      <c r="X184" s="75"/>
      <c r="Y184" s="76"/>
      <c r="Z184" s="76"/>
      <c r="AA184" s="76"/>
      <c r="AB184" s="75"/>
      <c r="AC184" s="75"/>
      <c r="AD184" s="75"/>
      <c r="AE184" s="75"/>
      <c r="AF184" s="75"/>
    </row>
    <row r="185" spans="2:32" x14ac:dyDescent="0.2">
      <c r="B185" s="76"/>
      <c r="C185" s="76"/>
      <c r="D185" s="76"/>
      <c r="E185" s="76"/>
      <c r="F185" s="76"/>
      <c r="G185" s="76"/>
      <c r="H185" s="76"/>
      <c r="I185" s="76"/>
      <c r="J185" s="76"/>
      <c r="K185" s="76"/>
      <c r="L185" s="75"/>
      <c r="M185" s="75"/>
      <c r="N185" s="76"/>
      <c r="O185" s="75"/>
      <c r="P185" s="76"/>
      <c r="Q185" s="76"/>
      <c r="R185" s="76"/>
      <c r="S185" s="76"/>
      <c r="T185" s="76"/>
      <c r="U185" s="76"/>
      <c r="V185" s="75"/>
      <c r="W185" s="75"/>
      <c r="X185" s="75"/>
      <c r="Y185" s="76"/>
      <c r="Z185" s="76"/>
      <c r="AA185" s="76"/>
      <c r="AB185" s="75"/>
      <c r="AC185" s="75"/>
      <c r="AD185" s="75"/>
      <c r="AE185" s="75"/>
      <c r="AF185" s="75"/>
    </row>
    <row r="186" spans="2:32" x14ac:dyDescent="0.2">
      <c r="B186" s="76"/>
      <c r="C186" s="76"/>
      <c r="D186" s="76"/>
      <c r="E186" s="76"/>
      <c r="F186" s="76"/>
      <c r="G186" s="76"/>
      <c r="H186" s="76"/>
      <c r="I186" s="76"/>
      <c r="J186" s="76"/>
      <c r="K186" s="76"/>
      <c r="L186" s="75"/>
      <c r="M186" s="75"/>
      <c r="N186" s="76"/>
      <c r="O186" s="75"/>
      <c r="P186" s="76"/>
      <c r="Q186" s="76"/>
      <c r="R186" s="76"/>
      <c r="S186" s="76"/>
      <c r="T186" s="76"/>
      <c r="U186" s="76"/>
      <c r="V186" s="75"/>
      <c r="W186" s="75"/>
      <c r="X186" s="75"/>
      <c r="Y186" s="76"/>
      <c r="Z186" s="76"/>
      <c r="AA186" s="76"/>
      <c r="AB186" s="75"/>
      <c r="AC186" s="75"/>
      <c r="AD186" s="75"/>
      <c r="AE186" s="75"/>
      <c r="AF186" s="75"/>
    </row>
    <row r="187" spans="2:32" x14ac:dyDescent="0.2">
      <c r="B187" s="76"/>
      <c r="C187" s="76"/>
      <c r="D187" s="76"/>
      <c r="E187" s="76"/>
      <c r="F187" s="76"/>
      <c r="G187" s="76"/>
      <c r="H187" s="76"/>
      <c r="I187" s="76"/>
      <c r="J187" s="76"/>
      <c r="K187" s="76"/>
      <c r="L187" s="75"/>
      <c r="M187" s="75"/>
      <c r="N187" s="76"/>
      <c r="O187" s="75"/>
      <c r="P187" s="76"/>
      <c r="Q187" s="76"/>
      <c r="R187" s="76"/>
      <c r="S187" s="76"/>
      <c r="T187" s="76"/>
      <c r="U187" s="76"/>
      <c r="V187" s="75"/>
      <c r="W187" s="75"/>
      <c r="X187" s="75"/>
      <c r="Y187" s="76"/>
      <c r="Z187" s="76"/>
      <c r="AA187" s="76"/>
      <c r="AB187" s="75"/>
      <c r="AC187" s="75"/>
      <c r="AD187" s="75"/>
      <c r="AE187" s="75"/>
      <c r="AF187" s="75"/>
    </row>
    <row r="188" spans="2:32" x14ac:dyDescent="0.2">
      <c r="B188" s="76"/>
      <c r="C188" s="76"/>
      <c r="D188" s="76"/>
      <c r="E188" s="76"/>
      <c r="F188" s="76"/>
      <c r="G188" s="76"/>
      <c r="H188" s="76"/>
      <c r="I188" s="76"/>
      <c r="J188" s="76"/>
      <c r="K188" s="76"/>
      <c r="L188" s="75"/>
      <c r="M188" s="75"/>
      <c r="N188" s="76"/>
      <c r="O188" s="75"/>
      <c r="P188" s="76"/>
      <c r="Q188" s="76"/>
      <c r="R188" s="76"/>
      <c r="S188" s="76"/>
      <c r="T188" s="76"/>
      <c r="U188" s="76"/>
      <c r="V188" s="75"/>
      <c r="W188" s="75"/>
      <c r="X188" s="75"/>
      <c r="Y188" s="76"/>
      <c r="Z188" s="76"/>
      <c r="AA188" s="76"/>
      <c r="AB188" s="75"/>
      <c r="AC188" s="75"/>
      <c r="AD188" s="75"/>
      <c r="AE188" s="75"/>
      <c r="AF188" s="75"/>
    </row>
    <row r="189" spans="2:32" x14ac:dyDescent="0.2">
      <c r="B189" s="76"/>
      <c r="C189" s="76"/>
      <c r="D189" s="76"/>
      <c r="E189" s="76"/>
      <c r="F189" s="76"/>
      <c r="G189" s="76"/>
      <c r="H189" s="76"/>
      <c r="I189" s="76"/>
      <c r="J189" s="76"/>
      <c r="K189" s="76"/>
      <c r="L189" s="75"/>
      <c r="M189" s="75"/>
      <c r="N189" s="76"/>
      <c r="O189" s="75"/>
      <c r="P189" s="76"/>
      <c r="Q189" s="76"/>
      <c r="R189" s="76"/>
      <c r="S189" s="76"/>
      <c r="T189" s="76"/>
      <c r="U189" s="76"/>
      <c r="V189" s="75"/>
      <c r="W189" s="75"/>
      <c r="X189" s="75"/>
      <c r="Y189" s="76"/>
      <c r="Z189" s="76"/>
      <c r="AA189" s="76"/>
      <c r="AB189" s="75"/>
      <c r="AC189" s="75"/>
      <c r="AD189" s="75"/>
      <c r="AE189" s="75"/>
      <c r="AF189" s="75"/>
    </row>
    <row r="190" spans="2:32" x14ac:dyDescent="0.2">
      <c r="B190" s="76"/>
      <c r="C190" s="76"/>
      <c r="D190" s="76"/>
      <c r="E190" s="76"/>
      <c r="F190" s="76"/>
      <c r="G190" s="76"/>
      <c r="H190" s="76"/>
      <c r="I190" s="76"/>
      <c r="J190" s="76"/>
      <c r="K190" s="76"/>
      <c r="L190" s="75"/>
      <c r="M190" s="75"/>
      <c r="N190" s="76"/>
      <c r="O190" s="75"/>
      <c r="P190" s="76"/>
      <c r="Q190" s="76"/>
      <c r="R190" s="76"/>
      <c r="S190" s="76"/>
      <c r="T190" s="76"/>
      <c r="U190" s="76"/>
      <c r="V190" s="75"/>
      <c r="W190" s="75"/>
      <c r="X190" s="75"/>
      <c r="Y190" s="76"/>
      <c r="Z190" s="76"/>
      <c r="AA190" s="76"/>
      <c r="AB190" s="75"/>
      <c r="AC190" s="75"/>
      <c r="AD190" s="75"/>
      <c r="AE190" s="75"/>
      <c r="AF190" s="75"/>
    </row>
    <row r="191" spans="2:32" x14ac:dyDescent="0.2">
      <c r="B191" s="76"/>
      <c r="C191" s="76"/>
      <c r="D191" s="76"/>
      <c r="E191" s="76"/>
      <c r="F191" s="76"/>
      <c r="G191" s="76"/>
      <c r="H191" s="76"/>
      <c r="I191" s="76"/>
      <c r="J191" s="76"/>
      <c r="K191" s="76"/>
      <c r="L191" s="75"/>
      <c r="M191" s="75"/>
      <c r="N191" s="76"/>
      <c r="O191" s="75"/>
      <c r="P191" s="76"/>
      <c r="Q191" s="76"/>
      <c r="R191" s="76"/>
      <c r="S191" s="76"/>
      <c r="T191" s="76"/>
      <c r="U191" s="76"/>
      <c r="V191" s="75"/>
      <c r="W191" s="75"/>
      <c r="X191" s="75"/>
      <c r="Y191" s="76"/>
      <c r="Z191" s="76"/>
      <c r="AA191" s="76"/>
      <c r="AB191" s="75"/>
      <c r="AC191" s="75"/>
      <c r="AD191" s="75"/>
      <c r="AE191" s="75"/>
      <c r="AF191" s="75"/>
    </row>
    <row r="192" spans="2:32" x14ac:dyDescent="0.2">
      <c r="B192" s="76"/>
      <c r="C192" s="76"/>
      <c r="D192" s="76"/>
      <c r="E192" s="76"/>
      <c r="F192" s="76"/>
      <c r="G192" s="76"/>
      <c r="H192" s="76"/>
      <c r="I192" s="76"/>
      <c r="J192" s="76"/>
      <c r="K192" s="76"/>
      <c r="L192" s="75"/>
      <c r="M192" s="75"/>
      <c r="N192" s="76"/>
      <c r="O192" s="75"/>
      <c r="P192" s="76"/>
      <c r="Q192" s="76"/>
      <c r="R192" s="76"/>
      <c r="S192" s="76"/>
      <c r="T192" s="76"/>
      <c r="U192" s="76"/>
      <c r="V192" s="75"/>
      <c r="W192" s="75"/>
      <c r="X192" s="75"/>
      <c r="Y192" s="76"/>
      <c r="Z192" s="76"/>
      <c r="AA192" s="76"/>
      <c r="AB192" s="75"/>
      <c r="AC192" s="75"/>
      <c r="AD192" s="75"/>
      <c r="AE192" s="75"/>
      <c r="AF192" s="75"/>
    </row>
    <row r="193" spans="2:32" x14ac:dyDescent="0.2">
      <c r="B193" s="76"/>
      <c r="C193" s="76"/>
      <c r="D193" s="76"/>
      <c r="E193" s="76"/>
      <c r="F193" s="76"/>
      <c r="G193" s="76"/>
      <c r="H193" s="76"/>
      <c r="I193" s="76"/>
      <c r="J193" s="76"/>
      <c r="K193" s="76"/>
      <c r="L193" s="75"/>
      <c r="M193" s="75"/>
      <c r="N193" s="76"/>
      <c r="O193" s="75"/>
      <c r="P193" s="76"/>
      <c r="Q193" s="76"/>
      <c r="R193" s="76"/>
      <c r="S193" s="76"/>
      <c r="T193" s="76"/>
      <c r="U193" s="76"/>
      <c r="V193" s="75"/>
      <c r="W193" s="75"/>
      <c r="X193" s="75"/>
      <c r="Y193" s="76"/>
      <c r="Z193" s="76"/>
      <c r="AA193" s="76"/>
      <c r="AB193" s="75"/>
      <c r="AC193" s="75"/>
      <c r="AD193" s="75"/>
      <c r="AE193" s="75"/>
      <c r="AF193" s="75"/>
    </row>
    <row r="194" spans="2:32" x14ac:dyDescent="0.2">
      <c r="B194" s="76"/>
      <c r="C194" s="76"/>
      <c r="D194" s="76"/>
      <c r="E194" s="76"/>
      <c r="F194" s="76"/>
      <c r="G194" s="76"/>
      <c r="H194" s="76"/>
      <c r="I194" s="76"/>
      <c r="J194" s="76"/>
      <c r="K194" s="76"/>
      <c r="L194" s="75"/>
      <c r="M194" s="75"/>
      <c r="N194" s="76"/>
      <c r="O194" s="75"/>
      <c r="P194" s="76"/>
      <c r="Q194" s="76"/>
      <c r="R194" s="76"/>
      <c r="S194" s="76"/>
      <c r="T194" s="76"/>
      <c r="U194" s="76"/>
      <c r="V194" s="75"/>
      <c r="W194" s="75"/>
      <c r="X194" s="75"/>
      <c r="Y194" s="76"/>
      <c r="Z194" s="76"/>
      <c r="AA194" s="76"/>
      <c r="AB194" s="75"/>
      <c r="AC194" s="75"/>
      <c r="AD194" s="75"/>
      <c r="AE194" s="75"/>
      <c r="AF194" s="75"/>
    </row>
    <row r="195" spans="2:32" x14ac:dyDescent="0.2">
      <c r="B195" s="76"/>
      <c r="C195" s="76"/>
      <c r="D195" s="76"/>
      <c r="E195" s="76"/>
      <c r="F195" s="76"/>
      <c r="G195" s="76"/>
      <c r="H195" s="76"/>
      <c r="I195" s="76"/>
      <c r="J195" s="76"/>
      <c r="K195" s="76"/>
      <c r="L195" s="75"/>
      <c r="M195" s="75"/>
      <c r="N195" s="76"/>
      <c r="O195" s="75"/>
      <c r="P195" s="76"/>
      <c r="Q195" s="76"/>
      <c r="R195" s="76"/>
      <c r="S195" s="76"/>
      <c r="T195" s="76"/>
      <c r="U195" s="76"/>
      <c r="V195" s="75"/>
      <c r="W195" s="75"/>
      <c r="X195" s="75"/>
      <c r="Y195" s="76"/>
      <c r="Z195" s="76"/>
      <c r="AA195" s="76"/>
      <c r="AB195" s="75"/>
      <c r="AC195" s="75"/>
      <c r="AD195" s="75"/>
      <c r="AE195" s="75"/>
      <c r="AF195" s="75"/>
    </row>
    <row r="196" spans="2:32" x14ac:dyDescent="0.2">
      <c r="B196" s="76"/>
      <c r="C196" s="76"/>
      <c r="D196" s="76"/>
      <c r="E196" s="76"/>
      <c r="F196" s="76"/>
      <c r="G196" s="76"/>
      <c r="H196" s="76"/>
      <c r="I196" s="76"/>
      <c r="J196" s="76"/>
      <c r="K196" s="76"/>
      <c r="L196" s="75"/>
      <c r="M196" s="75"/>
      <c r="N196" s="76"/>
      <c r="O196" s="75"/>
      <c r="P196" s="76"/>
      <c r="Q196" s="76"/>
      <c r="R196" s="76"/>
      <c r="S196" s="76"/>
      <c r="T196" s="76"/>
      <c r="U196" s="76"/>
      <c r="V196" s="75"/>
      <c r="W196" s="75"/>
      <c r="X196" s="75"/>
      <c r="Y196" s="76"/>
      <c r="Z196" s="76"/>
      <c r="AA196" s="76"/>
      <c r="AB196" s="75"/>
      <c r="AC196" s="75"/>
      <c r="AD196" s="75"/>
      <c r="AE196" s="75"/>
      <c r="AF196" s="75"/>
    </row>
    <row r="197" spans="2:32" x14ac:dyDescent="0.2">
      <c r="B197" s="76"/>
      <c r="C197" s="76"/>
      <c r="D197" s="76"/>
      <c r="E197" s="76"/>
      <c r="F197" s="76"/>
      <c r="G197" s="76"/>
      <c r="H197" s="76"/>
      <c r="I197" s="76"/>
      <c r="J197" s="76"/>
      <c r="K197" s="76"/>
      <c r="L197" s="75"/>
      <c r="M197" s="75"/>
      <c r="N197" s="76"/>
      <c r="O197" s="75"/>
      <c r="P197" s="76"/>
      <c r="Q197" s="76"/>
      <c r="R197" s="76"/>
      <c r="S197" s="76"/>
      <c r="T197" s="76"/>
      <c r="U197" s="76"/>
      <c r="V197" s="75"/>
      <c r="W197" s="75"/>
      <c r="X197" s="75"/>
      <c r="Y197" s="76"/>
      <c r="Z197" s="76"/>
      <c r="AA197" s="76"/>
      <c r="AB197" s="75"/>
      <c r="AC197" s="75"/>
      <c r="AD197" s="75"/>
      <c r="AE197" s="75"/>
      <c r="AF197" s="75"/>
    </row>
    <row r="198" spans="2:32" x14ac:dyDescent="0.2">
      <c r="B198" s="76"/>
      <c r="C198" s="76"/>
      <c r="D198" s="76"/>
      <c r="E198" s="76"/>
      <c r="F198" s="76"/>
      <c r="G198" s="76"/>
      <c r="H198" s="76"/>
      <c r="I198" s="76"/>
      <c r="J198" s="76"/>
      <c r="K198" s="76"/>
      <c r="L198" s="75"/>
      <c r="M198" s="75"/>
      <c r="N198" s="76"/>
      <c r="O198" s="75"/>
      <c r="P198" s="76"/>
      <c r="Q198" s="76"/>
      <c r="R198" s="76"/>
      <c r="S198" s="76"/>
      <c r="T198" s="76"/>
      <c r="U198" s="76"/>
      <c r="V198" s="75"/>
      <c r="W198" s="75"/>
      <c r="X198" s="75"/>
      <c r="Y198" s="76"/>
      <c r="Z198" s="76"/>
      <c r="AA198" s="76"/>
      <c r="AB198" s="75"/>
      <c r="AC198" s="75"/>
      <c r="AD198" s="75"/>
      <c r="AE198" s="75"/>
      <c r="AF198" s="75"/>
    </row>
    <row r="199" spans="2:32" x14ac:dyDescent="0.2">
      <c r="B199" s="76"/>
      <c r="C199" s="76"/>
      <c r="D199" s="76"/>
      <c r="E199" s="76"/>
      <c r="F199" s="76"/>
      <c r="G199" s="76"/>
      <c r="H199" s="76"/>
      <c r="I199" s="76"/>
      <c r="J199" s="76"/>
      <c r="K199" s="76"/>
      <c r="L199" s="75"/>
      <c r="M199" s="75"/>
      <c r="N199" s="76"/>
      <c r="O199" s="75"/>
      <c r="P199" s="76"/>
      <c r="Q199" s="76"/>
      <c r="R199" s="76"/>
      <c r="S199" s="76"/>
      <c r="T199" s="76"/>
      <c r="U199" s="76"/>
      <c r="V199" s="75"/>
      <c r="W199" s="75"/>
      <c r="X199" s="75"/>
      <c r="Y199" s="76"/>
      <c r="Z199" s="76"/>
      <c r="AA199" s="76"/>
      <c r="AB199" s="75"/>
      <c r="AC199" s="75"/>
      <c r="AD199" s="75"/>
      <c r="AE199" s="75"/>
      <c r="AF199" s="75"/>
    </row>
    <row r="200" spans="2:32" x14ac:dyDescent="0.2">
      <c r="B200" s="76"/>
      <c r="C200" s="76"/>
      <c r="D200" s="76"/>
      <c r="E200" s="76"/>
      <c r="F200" s="76"/>
      <c r="G200" s="76"/>
      <c r="H200" s="76"/>
      <c r="I200" s="76"/>
      <c r="J200" s="76"/>
      <c r="K200" s="76"/>
      <c r="L200" s="75"/>
      <c r="M200" s="75"/>
      <c r="N200" s="76"/>
      <c r="O200" s="75"/>
      <c r="P200" s="76"/>
      <c r="Q200" s="76"/>
      <c r="R200" s="76"/>
      <c r="S200" s="76"/>
      <c r="T200" s="76"/>
      <c r="U200" s="76"/>
      <c r="V200" s="75"/>
      <c r="W200" s="75"/>
      <c r="X200" s="75"/>
      <c r="Y200" s="76"/>
      <c r="Z200" s="76"/>
      <c r="AA200" s="76"/>
      <c r="AB200" s="75"/>
      <c r="AC200" s="75"/>
      <c r="AD200" s="75"/>
      <c r="AE200" s="75"/>
      <c r="AF200" s="75"/>
    </row>
    <row r="201" spans="2:32" x14ac:dyDescent="0.2">
      <c r="B201" s="76"/>
      <c r="C201" s="76"/>
      <c r="D201" s="76"/>
      <c r="E201" s="76"/>
      <c r="F201" s="76"/>
      <c r="G201" s="76"/>
      <c r="H201" s="76"/>
      <c r="I201" s="76"/>
      <c r="J201" s="76"/>
      <c r="K201" s="76"/>
      <c r="L201" s="75"/>
      <c r="M201" s="75"/>
      <c r="N201" s="76"/>
      <c r="O201" s="75"/>
      <c r="P201" s="76"/>
      <c r="Q201" s="76"/>
      <c r="R201" s="76"/>
      <c r="S201" s="76"/>
      <c r="T201" s="76"/>
      <c r="U201" s="76"/>
      <c r="V201" s="75"/>
      <c r="W201" s="75"/>
      <c r="X201" s="75"/>
      <c r="Y201" s="76"/>
      <c r="Z201" s="76"/>
      <c r="AA201" s="76"/>
      <c r="AB201" s="75"/>
      <c r="AC201" s="75"/>
      <c r="AD201" s="75"/>
      <c r="AE201" s="75"/>
      <c r="AF201" s="75"/>
    </row>
    <row r="202" spans="2:32" x14ac:dyDescent="0.2">
      <c r="B202" s="76"/>
      <c r="C202" s="76"/>
      <c r="D202" s="76"/>
      <c r="E202" s="76"/>
      <c r="F202" s="76"/>
      <c r="G202" s="76"/>
      <c r="H202" s="76"/>
      <c r="I202" s="76"/>
      <c r="J202" s="76"/>
      <c r="K202" s="76"/>
      <c r="L202" s="75"/>
      <c r="M202" s="75"/>
      <c r="N202" s="76"/>
      <c r="O202" s="75"/>
      <c r="P202" s="76"/>
      <c r="Q202" s="76"/>
      <c r="R202" s="76"/>
      <c r="S202" s="76"/>
      <c r="T202" s="76"/>
      <c r="U202" s="76"/>
      <c r="V202" s="75"/>
      <c r="W202" s="75"/>
      <c r="X202" s="75"/>
      <c r="Y202" s="76"/>
      <c r="Z202" s="76"/>
      <c r="AA202" s="76"/>
      <c r="AB202" s="75"/>
      <c r="AC202" s="75"/>
      <c r="AD202" s="75"/>
      <c r="AE202" s="75"/>
      <c r="AF202" s="75"/>
    </row>
    <row r="203" spans="2:32" x14ac:dyDescent="0.2">
      <c r="B203" s="76"/>
      <c r="C203" s="76"/>
      <c r="D203" s="76"/>
      <c r="E203" s="76"/>
      <c r="F203" s="76"/>
      <c r="G203" s="76"/>
      <c r="H203" s="76"/>
      <c r="I203" s="76"/>
      <c r="J203" s="76"/>
      <c r="K203" s="76"/>
      <c r="L203" s="75"/>
      <c r="M203" s="75"/>
      <c r="N203" s="76"/>
      <c r="O203" s="75"/>
      <c r="P203" s="76"/>
      <c r="Q203" s="76"/>
      <c r="R203" s="76"/>
      <c r="S203" s="76"/>
      <c r="T203" s="76"/>
      <c r="U203" s="76"/>
      <c r="V203" s="75"/>
      <c r="W203" s="75"/>
      <c r="X203" s="75"/>
      <c r="Y203" s="76"/>
      <c r="Z203" s="76"/>
      <c r="AA203" s="76"/>
      <c r="AB203" s="75"/>
      <c r="AC203" s="75"/>
      <c r="AD203" s="75"/>
      <c r="AE203" s="75"/>
      <c r="AF203" s="75"/>
    </row>
    <row r="204" spans="2:32" x14ac:dyDescent="0.2">
      <c r="B204" s="76"/>
      <c r="C204" s="76"/>
      <c r="D204" s="76"/>
      <c r="E204" s="76"/>
      <c r="F204" s="76"/>
      <c r="G204" s="76"/>
      <c r="H204" s="76"/>
      <c r="I204" s="76"/>
      <c r="J204" s="76"/>
      <c r="K204" s="76"/>
      <c r="L204" s="75"/>
      <c r="M204" s="75"/>
      <c r="N204" s="76"/>
      <c r="O204" s="75"/>
      <c r="P204" s="76"/>
      <c r="Q204" s="76"/>
      <c r="R204" s="76"/>
      <c r="S204" s="76"/>
      <c r="T204" s="76"/>
      <c r="U204" s="76"/>
      <c r="V204" s="75"/>
      <c r="W204" s="75"/>
      <c r="X204" s="75"/>
      <c r="Y204" s="76"/>
      <c r="Z204" s="76"/>
      <c r="AA204" s="76"/>
      <c r="AB204" s="75"/>
      <c r="AC204" s="75"/>
      <c r="AD204" s="75"/>
      <c r="AE204" s="75"/>
      <c r="AF204" s="75"/>
    </row>
    <row r="205" spans="2:32" x14ac:dyDescent="0.2">
      <c r="B205" s="76"/>
      <c r="C205" s="76"/>
      <c r="D205" s="76"/>
      <c r="E205" s="76"/>
      <c r="F205" s="76"/>
      <c r="G205" s="76"/>
      <c r="H205" s="76"/>
      <c r="I205" s="76"/>
      <c r="J205" s="76"/>
      <c r="K205" s="76"/>
      <c r="L205" s="75"/>
      <c r="M205" s="75"/>
      <c r="N205" s="76"/>
      <c r="O205" s="75"/>
      <c r="P205" s="76"/>
      <c r="Q205" s="76"/>
      <c r="R205" s="76"/>
      <c r="S205" s="76"/>
      <c r="T205" s="76"/>
      <c r="U205" s="76"/>
      <c r="V205" s="75"/>
      <c r="W205" s="75"/>
      <c r="X205" s="75"/>
      <c r="Y205" s="76"/>
      <c r="Z205" s="76"/>
      <c r="AA205" s="76"/>
      <c r="AB205" s="75"/>
      <c r="AC205" s="75"/>
      <c r="AD205" s="75"/>
      <c r="AE205" s="75"/>
      <c r="AF205" s="75"/>
    </row>
    <row r="206" spans="2:32" x14ac:dyDescent="0.2">
      <c r="B206" s="76"/>
      <c r="C206" s="76"/>
      <c r="D206" s="76"/>
      <c r="E206" s="76"/>
      <c r="F206" s="76"/>
      <c r="G206" s="76"/>
      <c r="H206" s="76"/>
      <c r="I206" s="76"/>
      <c r="J206" s="76"/>
      <c r="K206" s="76"/>
      <c r="L206" s="75"/>
      <c r="M206" s="75"/>
      <c r="N206" s="76"/>
      <c r="O206" s="75"/>
      <c r="P206" s="76"/>
      <c r="Q206" s="76"/>
      <c r="R206" s="76"/>
      <c r="S206" s="76"/>
      <c r="T206" s="76"/>
      <c r="U206" s="76"/>
      <c r="V206" s="75"/>
      <c r="W206" s="75"/>
      <c r="X206" s="75"/>
      <c r="Y206" s="76"/>
      <c r="Z206" s="76"/>
      <c r="AA206" s="76"/>
      <c r="AB206" s="75"/>
      <c r="AC206" s="75"/>
      <c r="AD206" s="75"/>
      <c r="AE206" s="75"/>
      <c r="AF206" s="75"/>
    </row>
    <row r="207" spans="2:32" x14ac:dyDescent="0.2">
      <c r="B207" s="76"/>
      <c r="C207" s="76"/>
      <c r="D207" s="76"/>
      <c r="E207" s="76"/>
      <c r="F207" s="76"/>
      <c r="G207" s="76"/>
      <c r="H207" s="76"/>
      <c r="I207" s="76"/>
      <c r="J207" s="76"/>
      <c r="K207" s="76"/>
      <c r="L207" s="75"/>
      <c r="M207" s="75"/>
      <c r="N207" s="76"/>
      <c r="O207" s="75"/>
      <c r="P207" s="76"/>
      <c r="Q207" s="76"/>
      <c r="R207" s="76"/>
      <c r="S207" s="76"/>
      <c r="T207" s="76"/>
      <c r="U207" s="76"/>
      <c r="V207" s="75"/>
      <c r="W207" s="75"/>
      <c r="X207" s="75"/>
      <c r="Y207" s="76"/>
      <c r="Z207" s="76"/>
      <c r="AA207" s="76"/>
      <c r="AB207" s="75"/>
      <c r="AC207" s="75"/>
      <c r="AD207" s="75"/>
      <c r="AE207" s="75"/>
      <c r="AF207" s="75"/>
    </row>
    <row r="208" spans="2:32" x14ac:dyDescent="0.2">
      <c r="B208" s="76"/>
      <c r="C208" s="76"/>
      <c r="D208" s="76"/>
      <c r="E208" s="76"/>
      <c r="F208" s="76"/>
      <c r="G208" s="76"/>
      <c r="H208" s="76"/>
      <c r="I208" s="76"/>
      <c r="J208" s="76"/>
      <c r="K208" s="76"/>
      <c r="L208" s="75"/>
      <c r="M208" s="75"/>
      <c r="N208" s="76"/>
      <c r="O208" s="75"/>
      <c r="P208" s="76"/>
      <c r="Q208" s="76"/>
      <c r="R208" s="76"/>
      <c r="S208" s="76"/>
      <c r="T208" s="76"/>
      <c r="U208" s="76"/>
      <c r="V208" s="75"/>
      <c r="W208" s="75"/>
      <c r="X208" s="75"/>
      <c r="Y208" s="76"/>
      <c r="Z208" s="76"/>
      <c r="AA208" s="76"/>
      <c r="AB208" s="75"/>
      <c r="AC208" s="75"/>
      <c r="AD208" s="75"/>
      <c r="AE208" s="75"/>
      <c r="AF208" s="75"/>
    </row>
    <row r="209" spans="2:32" x14ac:dyDescent="0.2">
      <c r="B209" s="76"/>
      <c r="C209" s="76"/>
      <c r="D209" s="76"/>
      <c r="E209" s="76"/>
      <c r="F209" s="76"/>
      <c r="G209" s="76"/>
      <c r="H209" s="76"/>
      <c r="I209" s="76"/>
      <c r="J209" s="76"/>
      <c r="K209" s="76"/>
      <c r="L209" s="75"/>
      <c r="M209" s="75"/>
      <c r="N209" s="76"/>
      <c r="O209" s="75"/>
      <c r="P209" s="76"/>
      <c r="Q209" s="76"/>
      <c r="R209" s="76"/>
      <c r="S209" s="76"/>
      <c r="T209" s="76"/>
      <c r="U209" s="76"/>
      <c r="V209" s="75"/>
      <c r="W209" s="75"/>
      <c r="X209" s="75"/>
      <c r="Y209" s="76"/>
      <c r="Z209" s="76"/>
      <c r="AA209" s="76"/>
      <c r="AB209" s="75"/>
      <c r="AC209" s="75"/>
      <c r="AD209" s="75"/>
      <c r="AE209" s="75"/>
      <c r="AF209" s="75"/>
    </row>
    <row r="210" spans="2:32" x14ac:dyDescent="0.2">
      <c r="B210" s="76"/>
      <c r="C210" s="76"/>
      <c r="D210" s="76"/>
      <c r="E210" s="76"/>
      <c r="F210" s="76"/>
      <c r="G210" s="76"/>
      <c r="H210" s="76"/>
      <c r="I210" s="76"/>
      <c r="J210" s="76"/>
      <c r="K210" s="76"/>
      <c r="L210" s="75"/>
      <c r="M210" s="75"/>
      <c r="N210" s="76"/>
      <c r="O210" s="75"/>
      <c r="P210" s="76"/>
      <c r="Q210" s="76"/>
      <c r="R210" s="76"/>
      <c r="S210" s="76"/>
      <c r="T210" s="76"/>
      <c r="U210" s="76"/>
      <c r="V210" s="75"/>
      <c r="W210" s="75"/>
      <c r="X210" s="75"/>
      <c r="Y210" s="76"/>
      <c r="Z210" s="76"/>
      <c r="AA210" s="76"/>
      <c r="AB210" s="75"/>
      <c r="AC210" s="75"/>
      <c r="AD210" s="75"/>
      <c r="AE210" s="75"/>
      <c r="AF210" s="75"/>
    </row>
    <row r="211" spans="2:32" x14ac:dyDescent="0.2">
      <c r="B211" s="76"/>
      <c r="C211" s="76"/>
      <c r="D211" s="76"/>
      <c r="E211" s="76"/>
      <c r="F211" s="76"/>
      <c r="G211" s="76"/>
      <c r="H211" s="76"/>
      <c r="I211" s="76"/>
      <c r="J211" s="76"/>
      <c r="K211" s="76"/>
      <c r="L211" s="75"/>
      <c r="M211" s="75"/>
      <c r="N211" s="76"/>
      <c r="O211" s="75"/>
      <c r="P211" s="76"/>
      <c r="Q211" s="76"/>
      <c r="R211" s="76"/>
      <c r="S211" s="76"/>
      <c r="T211" s="76"/>
      <c r="U211" s="76"/>
      <c r="V211" s="75"/>
      <c r="W211" s="75"/>
      <c r="X211" s="75"/>
      <c r="Y211" s="76"/>
      <c r="Z211" s="76"/>
      <c r="AA211" s="76"/>
      <c r="AB211" s="75"/>
      <c r="AC211" s="75"/>
      <c r="AD211" s="75"/>
      <c r="AE211" s="75"/>
      <c r="AF211" s="75"/>
    </row>
    <row r="212" spans="2:32" x14ac:dyDescent="0.2">
      <c r="B212" s="47"/>
      <c r="C212" s="47"/>
      <c r="D212" s="47"/>
      <c r="E212" s="47"/>
      <c r="F212" s="47"/>
      <c r="G212" s="47"/>
      <c r="H212" s="47"/>
      <c r="I212" s="47"/>
      <c r="J212" s="47"/>
      <c r="K212" s="47"/>
      <c r="N212" s="47"/>
      <c r="P212" s="47"/>
      <c r="Q212" s="47"/>
      <c r="R212" s="47"/>
      <c r="S212" s="47"/>
      <c r="U212" s="47"/>
      <c r="Y212" s="47"/>
      <c r="Z212" s="47"/>
      <c r="AA212" s="47"/>
    </row>
    <row r="213" spans="2:32" x14ac:dyDescent="0.2">
      <c r="B213" s="47"/>
      <c r="C213" s="47"/>
      <c r="D213" s="47"/>
      <c r="E213" s="47"/>
      <c r="F213" s="47"/>
      <c r="G213" s="47"/>
      <c r="H213" s="47"/>
      <c r="I213" s="47"/>
      <c r="J213" s="47"/>
      <c r="K213" s="47"/>
      <c r="N213" s="47"/>
      <c r="P213" s="47"/>
      <c r="Q213" s="47"/>
      <c r="R213" s="47"/>
      <c r="S213" s="47"/>
      <c r="U213" s="47"/>
      <c r="Y213" s="47"/>
      <c r="Z213" s="47"/>
      <c r="AA213" s="47"/>
    </row>
    <row r="214" spans="2:32" x14ac:dyDescent="0.2">
      <c r="B214" s="47"/>
      <c r="C214" s="47"/>
      <c r="D214" s="47"/>
      <c r="E214" s="47"/>
      <c r="F214" s="47"/>
      <c r="G214" s="47"/>
      <c r="H214" s="47"/>
      <c r="I214" s="47"/>
      <c r="J214" s="47"/>
      <c r="K214" s="47"/>
      <c r="N214" s="47"/>
      <c r="P214" s="47"/>
      <c r="Q214" s="47"/>
      <c r="R214" s="47"/>
      <c r="S214" s="47"/>
      <c r="U214" s="47"/>
      <c r="Y214" s="47"/>
      <c r="Z214" s="47"/>
      <c r="AA214" s="47"/>
    </row>
    <row r="215" spans="2:32" x14ac:dyDescent="0.2">
      <c r="B215" s="47"/>
      <c r="C215" s="47"/>
      <c r="D215" s="47"/>
      <c r="E215" s="47"/>
      <c r="F215" s="47"/>
      <c r="G215" s="47"/>
      <c r="H215" s="47"/>
      <c r="I215" s="47"/>
      <c r="J215" s="47"/>
      <c r="K215" s="47"/>
      <c r="N215" s="47"/>
      <c r="P215" s="47"/>
      <c r="Q215" s="47"/>
      <c r="R215" s="47"/>
      <c r="S215" s="47"/>
      <c r="U215" s="47"/>
      <c r="Y215" s="47"/>
      <c r="Z215" s="47"/>
      <c r="AA215" s="47"/>
    </row>
    <row r="216" spans="2:32" x14ac:dyDescent="0.2">
      <c r="B216" s="47"/>
      <c r="C216" s="47"/>
      <c r="D216" s="47"/>
      <c r="E216" s="47"/>
      <c r="F216" s="47"/>
      <c r="G216" s="47"/>
      <c r="H216" s="47"/>
      <c r="I216" s="47"/>
      <c r="J216" s="47"/>
      <c r="K216" s="47"/>
      <c r="N216" s="47"/>
      <c r="P216" s="47"/>
      <c r="Q216" s="47"/>
      <c r="R216" s="47"/>
      <c r="S216" s="47"/>
      <c r="U216" s="47"/>
      <c r="Y216" s="47"/>
      <c r="Z216" s="47"/>
      <c r="AA216" s="47"/>
    </row>
    <row r="217" spans="2:32" x14ac:dyDescent="0.2">
      <c r="B217" s="47"/>
      <c r="C217" s="47"/>
      <c r="D217" s="47"/>
      <c r="E217" s="47"/>
      <c r="F217" s="47"/>
      <c r="G217" s="47"/>
      <c r="H217" s="47"/>
      <c r="I217" s="47"/>
      <c r="J217" s="47"/>
      <c r="K217" s="47"/>
      <c r="N217" s="47"/>
      <c r="P217" s="47"/>
      <c r="Q217" s="47"/>
      <c r="R217" s="47"/>
      <c r="S217" s="47"/>
      <c r="U217" s="47"/>
      <c r="Y217" s="47"/>
      <c r="Z217" s="47"/>
      <c r="AA217" s="47"/>
    </row>
    <row r="218" spans="2:32" x14ac:dyDescent="0.2">
      <c r="B218" s="47"/>
      <c r="C218" s="47"/>
      <c r="D218" s="47"/>
      <c r="E218" s="47"/>
      <c r="F218" s="47"/>
      <c r="G218" s="47"/>
      <c r="H218" s="47"/>
      <c r="I218" s="47"/>
      <c r="J218" s="47"/>
      <c r="K218" s="47"/>
      <c r="N218" s="47"/>
      <c r="P218" s="47"/>
      <c r="Q218" s="47"/>
      <c r="R218" s="47"/>
      <c r="S218" s="47"/>
      <c r="U218" s="47"/>
      <c r="Y218" s="47"/>
      <c r="Z218" s="47"/>
      <c r="AA218" s="47"/>
    </row>
    <row r="219" spans="2:32" x14ac:dyDescent="0.2">
      <c r="B219" s="47"/>
      <c r="C219" s="47"/>
      <c r="D219" s="47"/>
      <c r="E219" s="47"/>
      <c r="F219" s="47"/>
      <c r="G219" s="47"/>
      <c r="H219" s="47"/>
      <c r="I219" s="47"/>
      <c r="J219" s="47"/>
      <c r="K219" s="47"/>
      <c r="N219" s="47"/>
      <c r="P219" s="47"/>
      <c r="Q219" s="47"/>
      <c r="R219" s="47"/>
      <c r="S219" s="47"/>
      <c r="U219" s="47"/>
      <c r="Y219" s="47"/>
      <c r="Z219" s="47"/>
      <c r="AA219" s="47"/>
    </row>
    <row r="220" spans="2:32" x14ac:dyDescent="0.2">
      <c r="B220" s="47"/>
      <c r="C220" s="47"/>
      <c r="D220" s="47"/>
      <c r="E220" s="47"/>
      <c r="F220" s="47"/>
      <c r="G220" s="47"/>
      <c r="H220" s="47"/>
      <c r="I220" s="47"/>
      <c r="J220" s="47"/>
      <c r="K220" s="47"/>
      <c r="N220" s="47"/>
      <c r="P220" s="47"/>
      <c r="Q220" s="47"/>
      <c r="R220" s="47"/>
      <c r="S220" s="47"/>
      <c r="U220" s="47"/>
      <c r="Y220" s="47"/>
      <c r="Z220" s="47"/>
      <c r="AA220" s="47"/>
    </row>
    <row r="221" spans="2:32" x14ac:dyDescent="0.2">
      <c r="B221" s="47"/>
      <c r="C221" s="47"/>
      <c r="D221" s="47"/>
      <c r="E221" s="47"/>
      <c r="F221" s="47"/>
      <c r="G221" s="47"/>
      <c r="H221" s="47"/>
      <c r="I221" s="47"/>
      <c r="J221" s="47"/>
      <c r="K221" s="47"/>
      <c r="N221" s="47"/>
      <c r="P221" s="47"/>
      <c r="Q221" s="47"/>
      <c r="R221" s="47"/>
      <c r="S221" s="47"/>
      <c r="U221" s="47"/>
      <c r="Y221" s="47"/>
      <c r="Z221" s="47"/>
      <c r="AA221" s="47"/>
    </row>
    <row r="222" spans="2:32" x14ac:dyDescent="0.2">
      <c r="B222" s="47"/>
      <c r="C222" s="47"/>
      <c r="D222" s="47"/>
      <c r="E222" s="47"/>
      <c r="F222" s="47"/>
      <c r="G222" s="47"/>
      <c r="H222" s="47"/>
      <c r="I222" s="47"/>
      <c r="J222" s="47"/>
      <c r="K222" s="47"/>
      <c r="N222" s="47"/>
      <c r="P222" s="47"/>
      <c r="Q222" s="47"/>
      <c r="R222" s="47"/>
      <c r="S222" s="47"/>
      <c r="U222" s="47"/>
      <c r="Y222" s="47"/>
      <c r="Z222" s="47"/>
      <c r="AA222" s="47"/>
    </row>
    <row r="223" spans="2:32" x14ac:dyDescent="0.2">
      <c r="B223" s="47"/>
      <c r="C223" s="47"/>
      <c r="D223" s="47"/>
      <c r="E223" s="47"/>
      <c r="F223" s="47"/>
      <c r="G223" s="47"/>
      <c r="H223" s="47"/>
      <c r="I223" s="47"/>
      <c r="J223" s="47"/>
      <c r="K223" s="47"/>
      <c r="N223" s="47"/>
      <c r="P223" s="47"/>
      <c r="Q223" s="47"/>
      <c r="R223" s="47"/>
      <c r="S223" s="47"/>
      <c r="U223" s="47"/>
      <c r="Y223" s="47"/>
      <c r="Z223" s="47"/>
      <c r="AA223" s="47"/>
    </row>
    <row r="224" spans="2:32" x14ac:dyDescent="0.2">
      <c r="B224" s="47"/>
      <c r="C224" s="47"/>
      <c r="D224" s="47"/>
      <c r="E224" s="47"/>
      <c r="F224" s="47"/>
      <c r="G224" s="47"/>
      <c r="H224" s="47"/>
      <c r="I224" s="47"/>
      <c r="J224" s="47"/>
      <c r="K224" s="47"/>
      <c r="N224" s="47"/>
      <c r="P224" s="47"/>
      <c r="Q224" s="47"/>
      <c r="R224" s="47"/>
      <c r="S224" s="47"/>
      <c r="U224" s="47"/>
      <c r="Y224" s="47"/>
      <c r="Z224" s="47"/>
      <c r="AA224" s="47"/>
    </row>
    <row r="225" spans="2:27" x14ac:dyDescent="0.2">
      <c r="B225" s="47"/>
      <c r="C225" s="47"/>
      <c r="D225" s="47"/>
      <c r="E225" s="47"/>
      <c r="F225" s="47"/>
      <c r="G225" s="47"/>
      <c r="H225" s="47"/>
      <c r="I225" s="47"/>
      <c r="J225" s="47"/>
      <c r="K225" s="47"/>
      <c r="N225" s="47"/>
      <c r="P225" s="47"/>
      <c r="Q225" s="47"/>
      <c r="R225" s="47"/>
      <c r="S225" s="47"/>
      <c r="U225" s="47"/>
      <c r="Y225" s="47"/>
      <c r="Z225" s="47"/>
      <c r="AA225" s="47"/>
    </row>
    <row r="226" spans="2:27" x14ac:dyDescent="0.2">
      <c r="B226" s="47"/>
      <c r="C226" s="47"/>
      <c r="D226" s="47"/>
      <c r="E226" s="47"/>
      <c r="F226" s="47"/>
      <c r="G226" s="47"/>
      <c r="H226" s="47"/>
      <c r="I226" s="47"/>
      <c r="J226" s="47"/>
      <c r="K226" s="47"/>
      <c r="N226" s="47"/>
      <c r="P226" s="47"/>
      <c r="Q226" s="47"/>
      <c r="R226" s="47"/>
      <c r="S226" s="47"/>
      <c r="U226" s="47"/>
      <c r="Y226" s="47"/>
      <c r="Z226" s="47"/>
      <c r="AA226" s="47"/>
    </row>
    <row r="227" spans="2:27" x14ac:dyDescent="0.2">
      <c r="B227" s="47"/>
      <c r="C227" s="47"/>
      <c r="D227" s="47"/>
      <c r="E227" s="47"/>
      <c r="F227" s="47"/>
      <c r="G227" s="47"/>
      <c r="H227" s="47"/>
      <c r="I227" s="47"/>
      <c r="J227" s="47"/>
      <c r="K227" s="47"/>
      <c r="N227" s="47"/>
      <c r="P227" s="47"/>
      <c r="Q227" s="47"/>
      <c r="R227" s="47"/>
      <c r="S227" s="47"/>
      <c r="U227" s="47"/>
      <c r="Y227" s="47"/>
      <c r="Z227" s="47"/>
      <c r="AA227" s="47"/>
    </row>
    <row r="228" spans="2:27" x14ac:dyDescent="0.2">
      <c r="B228" s="47"/>
      <c r="C228" s="47"/>
      <c r="D228" s="47"/>
      <c r="E228" s="47"/>
      <c r="F228" s="47"/>
      <c r="G228" s="47"/>
      <c r="H228" s="47"/>
      <c r="I228" s="47"/>
      <c r="J228" s="47"/>
      <c r="K228" s="47"/>
      <c r="N228" s="47"/>
      <c r="P228" s="47"/>
      <c r="Q228" s="47"/>
      <c r="R228" s="47"/>
      <c r="S228" s="47"/>
      <c r="U228" s="47"/>
      <c r="Y228" s="47"/>
      <c r="Z228" s="47"/>
      <c r="AA228" s="47"/>
    </row>
    <row r="229" spans="2:27" x14ac:dyDescent="0.2">
      <c r="B229" s="47"/>
      <c r="C229" s="47"/>
      <c r="D229" s="47"/>
      <c r="E229" s="47"/>
      <c r="F229" s="47"/>
      <c r="G229" s="47"/>
      <c r="H229" s="47"/>
      <c r="I229" s="47"/>
      <c r="J229" s="47"/>
      <c r="K229" s="47"/>
      <c r="N229" s="47"/>
      <c r="P229" s="47"/>
      <c r="Q229" s="47"/>
      <c r="R229" s="47"/>
      <c r="S229" s="47"/>
      <c r="U229" s="47"/>
      <c r="Y229" s="47"/>
      <c r="Z229" s="47"/>
      <c r="AA229" s="47"/>
    </row>
    <row r="230" spans="2:27" x14ac:dyDescent="0.2">
      <c r="B230" s="47"/>
      <c r="C230" s="47"/>
      <c r="D230" s="47"/>
      <c r="E230" s="47"/>
      <c r="F230" s="47"/>
      <c r="G230" s="47"/>
      <c r="H230" s="47"/>
      <c r="I230" s="47"/>
      <c r="J230" s="47"/>
      <c r="K230" s="47"/>
      <c r="N230" s="47"/>
      <c r="P230" s="47"/>
      <c r="Q230" s="47"/>
      <c r="R230" s="47"/>
      <c r="S230" s="47"/>
      <c r="U230" s="47"/>
      <c r="Y230" s="47"/>
      <c r="Z230" s="47"/>
      <c r="AA230" s="47"/>
    </row>
    <row r="231" spans="2:27" x14ac:dyDescent="0.2">
      <c r="B231" s="47"/>
      <c r="C231" s="47"/>
      <c r="D231" s="47"/>
      <c r="E231" s="47"/>
      <c r="F231" s="47"/>
      <c r="G231" s="47"/>
      <c r="H231" s="47"/>
      <c r="I231" s="47"/>
      <c r="J231" s="47"/>
      <c r="K231" s="47"/>
      <c r="N231" s="47"/>
      <c r="P231" s="47"/>
      <c r="Q231" s="47"/>
      <c r="R231" s="47"/>
      <c r="S231" s="47"/>
      <c r="U231" s="47"/>
      <c r="Y231" s="47"/>
      <c r="Z231" s="47"/>
      <c r="AA231" s="47"/>
    </row>
    <row r="232" spans="2:27" x14ac:dyDescent="0.2">
      <c r="B232" s="47"/>
      <c r="C232" s="47"/>
      <c r="D232" s="47"/>
      <c r="E232" s="47"/>
      <c r="F232" s="47"/>
      <c r="G232" s="47"/>
      <c r="H232" s="47"/>
      <c r="I232" s="47"/>
      <c r="J232" s="47"/>
      <c r="K232" s="47"/>
      <c r="N232" s="47"/>
      <c r="P232" s="47"/>
      <c r="Q232" s="47"/>
      <c r="R232" s="47"/>
      <c r="S232" s="47"/>
      <c r="U232" s="47"/>
      <c r="Y232" s="47"/>
      <c r="Z232" s="47"/>
      <c r="AA232" s="47"/>
    </row>
    <row r="233" spans="2:27" x14ac:dyDescent="0.2">
      <c r="B233" s="47"/>
      <c r="C233" s="47"/>
      <c r="D233" s="47"/>
      <c r="E233" s="47"/>
      <c r="F233" s="47"/>
      <c r="G233" s="47"/>
      <c r="H233" s="47"/>
      <c r="I233" s="47"/>
      <c r="J233" s="47"/>
      <c r="K233" s="47"/>
      <c r="N233" s="47"/>
      <c r="P233" s="47"/>
      <c r="Q233" s="47"/>
      <c r="R233" s="47"/>
      <c r="S233" s="47"/>
      <c r="U233" s="47"/>
      <c r="Y233" s="47"/>
      <c r="Z233" s="47"/>
      <c r="AA233" s="47"/>
    </row>
    <row r="234" spans="2:27" x14ac:dyDescent="0.2">
      <c r="B234" s="47"/>
      <c r="C234" s="47"/>
      <c r="D234" s="47"/>
      <c r="E234" s="47"/>
      <c r="F234" s="47"/>
      <c r="G234" s="47"/>
      <c r="H234" s="47"/>
      <c r="I234" s="47"/>
      <c r="J234" s="47"/>
      <c r="K234" s="47"/>
      <c r="N234" s="47"/>
      <c r="P234" s="47"/>
      <c r="Q234" s="47"/>
      <c r="R234" s="47"/>
      <c r="S234" s="47"/>
      <c r="U234" s="47"/>
      <c r="Y234" s="47"/>
      <c r="Z234" s="47"/>
      <c r="AA234" s="47"/>
    </row>
    <row r="235" spans="2:27" x14ac:dyDescent="0.2">
      <c r="B235" s="47"/>
      <c r="C235" s="47"/>
      <c r="D235" s="47"/>
      <c r="E235" s="47"/>
      <c r="F235" s="47"/>
      <c r="G235" s="47"/>
      <c r="H235" s="47"/>
      <c r="I235" s="47"/>
      <c r="J235" s="47"/>
      <c r="K235" s="47"/>
      <c r="N235" s="47"/>
      <c r="P235" s="47"/>
      <c r="Q235" s="47"/>
      <c r="R235" s="47"/>
      <c r="S235" s="47"/>
      <c r="U235" s="47"/>
      <c r="Y235" s="47"/>
      <c r="Z235" s="47"/>
      <c r="AA235" s="47"/>
    </row>
    <row r="236" spans="2:27" x14ac:dyDescent="0.2">
      <c r="B236" s="47"/>
      <c r="C236" s="47"/>
      <c r="D236" s="47"/>
      <c r="E236" s="47"/>
      <c r="F236" s="47"/>
      <c r="G236" s="47"/>
      <c r="H236" s="47"/>
      <c r="I236" s="47"/>
      <c r="J236" s="47"/>
      <c r="K236" s="47"/>
      <c r="N236" s="47"/>
      <c r="P236" s="47"/>
      <c r="Q236" s="47"/>
      <c r="R236" s="47"/>
      <c r="S236" s="47"/>
      <c r="U236" s="47"/>
      <c r="Y236" s="47"/>
      <c r="Z236" s="47"/>
      <c r="AA236" s="47"/>
    </row>
    <row r="237" spans="2:27" x14ac:dyDescent="0.2">
      <c r="B237" s="47"/>
      <c r="C237" s="47"/>
      <c r="D237" s="47"/>
      <c r="E237" s="47"/>
      <c r="F237" s="47"/>
      <c r="G237" s="47"/>
      <c r="H237" s="47"/>
      <c r="I237" s="47"/>
      <c r="J237" s="47"/>
      <c r="K237" s="47"/>
      <c r="N237" s="47"/>
      <c r="P237" s="47"/>
      <c r="Q237" s="47"/>
      <c r="R237" s="47"/>
      <c r="S237" s="47"/>
      <c r="U237" s="47"/>
      <c r="Y237" s="47"/>
      <c r="Z237" s="47"/>
      <c r="AA237" s="47"/>
    </row>
    <row r="238" spans="2:27" x14ac:dyDescent="0.2">
      <c r="B238" s="47"/>
      <c r="C238" s="47"/>
      <c r="D238" s="47"/>
      <c r="E238" s="47"/>
      <c r="F238" s="47"/>
      <c r="G238" s="47"/>
      <c r="H238" s="47"/>
      <c r="I238" s="47"/>
      <c r="J238" s="47"/>
      <c r="K238" s="47"/>
      <c r="N238" s="47"/>
      <c r="P238" s="47"/>
      <c r="Q238" s="47"/>
      <c r="R238" s="47"/>
      <c r="S238" s="47"/>
      <c r="U238" s="47"/>
      <c r="Y238" s="47"/>
      <c r="Z238" s="47"/>
      <c r="AA238" s="47"/>
    </row>
    <row r="239" spans="2:27" x14ac:dyDescent="0.2">
      <c r="B239" s="47"/>
      <c r="C239" s="47"/>
      <c r="D239" s="47"/>
      <c r="E239" s="47"/>
      <c r="F239" s="47"/>
      <c r="G239" s="47"/>
      <c r="H239" s="47"/>
      <c r="I239" s="47"/>
      <c r="J239" s="47"/>
      <c r="K239" s="47"/>
      <c r="N239" s="47"/>
      <c r="P239" s="47"/>
      <c r="Q239" s="47"/>
      <c r="R239" s="47"/>
      <c r="S239" s="47"/>
      <c r="U239" s="47"/>
      <c r="Y239" s="47"/>
      <c r="Z239" s="47"/>
      <c r="AA239" s="47"/>
    </row>
    <row r="240" spans="2:27" x14ac:dyDescent="0.2">
      <c r="B240" s="47"/>
      <c r="C240" s="47"/>
      <c r="D240" s="47"/>
      <c r="E240" s="47"/>
      <c r="F240" s="47"/>
      <c r="G240" s="47"/>
      <c r="H240" s="47"/>
      <c r="I240" s="47"/>
      <c r="J240" s="47"/>
      <c r="K240" s="47"/>
      <c r="N240" s="47"/>
      <c r="P240" s="47"/>
      <c r="Q240" s="47"/>
      <c r="R240" s="47"/>
      <c r="S240" s="47"/>
      <c r="U240" s="47"/>
      <c r="Y240" s="47"/>
      <c r="Z240" s="47"/>
      <c r="AA240" s="47"/>
    </row>
    <row r="241" spans="2:27" x14ac:dyDescent="0.2">
      <c r="B241" s="47"/>
      <c r="C241" s="47"/>
      <c r="D241" s="47"/>
      <c r="E241" s="47"/>
      <c r="F241" s="47"/>
      <c r="G241" s="47"/>
      <c r="H241" s="47"/>
      <c r="I241" s="47"/>
      <c r="J241" s="47"/>
      <c r="K241" s="47"/>
      <c r="N241" s="47"/>
      <c r="P241" s="47"/>
      <c r="Q241" s="47"/>
      <c r="R241" s="47"/>
      <c r="S241" s="47"/>
      <c r="U241" s="47"/>
      <c r="Y241" s="47"/>
      <c r="Z241" s="47"/>
      <c r="AA241" s="47"/>
    </row>
    <row r="242" spans="2:27" x14ac:dyDescent="0.2">
      <c r="B242" s="47"/>
      <c r="C242" s="47"/>
      <c r="D242" s="47"/>
      <c r="E242" s="47"/>
      <c r="F242" s="47"/>
      <c r="G242" s="47"/>
      <c r="H242" s="47"/>
      <c r="I242" s="47"/>
      <c r="J242" s="47"/>
      <c r="K242" s="47"/>
      <c r="N242" s="47"/>
      <c r="P242" s="47"/>
      <c r="Q242" s="47"/>
      <c r="R242" s="47"/>
      <c r="S242" s="47"/>
      <c r="U242" s="47"/>
      <c r="Y242" s="47"/>
      <c r="Z242" s="47"/>
      <c r="AA242" s="47"/>
    </row>
    <row r="243" spans="2:27" x14ac:dyDescent="0.2">
      <c r="B243" s="47"/>
      <c r="C243" s="47"/>
      <c r="D243" s="47"/>
      <c r="E243" s="47"/>
      <c r="F243" s="47"/>
      <c r="G243" s="47"/>
      <c r="H243" s="47"/>
      <c r="I243" s="47"/>
      <c r="J243" s="47"/>
      <c r="K243" s="47"/>
      <c r="N243" s="47"/>
      <c r="P243" s="47"/>
      <c r="Q243" s="47"/>
      <c r="R243" s="47"/>
      <c r="S243" s="47"/>
      <c r="U243" s="47"/>
      <c r="Y243" s="47"/>
      <c r="Z243" s="47"/>
      <c r="AA243" s="47"/>
    </row>
    <row r="244" spans="2:27" x14ac:dyDescent="0.2">
      <c r="B244" s="47"/>
      <c r="C244" s="47"/>
      <c r="D244" s="47"/>
      <c r="E244" s="47"/>
      <c r="F244" s="47"/>
      <c r="G244" s="47"/>
      <c r="H244" s="47"/>
      <c r="I244" s="47"/>
      <c r="J244" s="47"/>
      <c r="K244" s="47"/>
      <c r="N244" s="47"/>
      <c r="P244" s="47"/>
      <c r="Q244" s="47"/>
      <c r="R244" s="47"/>
      <c r="S244" s="47"/>
      <c r="U244" s="47"/>
      <c r="Y244" s="47"/>
      <c r="Z244" s="47"/>
      <c r="AA244" s="47"/>
    </row>
    <row r="245" spans="2:27" x14ac:dyDescent="0.2">
      <c r="B245" s="47"/>
      <c r="C245" s="47"/>
      <c r="D245" s="47"/>
      <c r="E245" s="47"/>
      <c r="F245" s="47"/>
      <c r="G245" s="47"/>
      <c r="H245" s="47"/>
      <c r="I245" s="47"/>
      <c r="J245" s="47"/>
      <c r="K245" s="47"/>
      <c r="N245" s="47"/>
      <c r="P245" s="47"/>
      <c r="Q245" s="47"/>
      <c r="R245" s="47"/>
      <c r="S245" s="47"/>
      <c r="U245" s="47"/>
      <c r="Y245" s="47"/>
      <c r="Z245" s="47"/>
      <c r="AA245" s="47"/>
    </row>
    <row r="246" spans="2:27" x14ac:dyDescent="0.2">
      <c r="B246" s="47"/>
      <c r="C246" s="47"/>
      <c r="D246" s="47"/>
      <c r="E246" s="47"/>
      <c r="F246" s="47"/>
      <c r="G246" s="47"/>
      <c r="H246" s="47"/>
      <c r="I246" s="47"/>
      <c r="J246" s="47"/>
      <c r="K246" s="47"/>
      <c r="N246" s="47"/>
      <c r="P246" s="47"/>
      <c r="Q246" s="47"/>
      <c r="R246" s="47"/>
      <c r="S246" s="47"/>
      <c r="U246" s="47"/>
      <c r="Y246" s="47"/>
      <c r="Z246" s="47"/>
      <c r="AA246" s="47"/>
    </row>
    <row r="247" spans="2:27" x14ac:dyDescent="0.2">
      <c r="B247" s="47"/>
      <c r="C247" s="47"/>
      <c r="D247" s="47"/>
      <c r="E247" s="47"/>
      <c r="F247" s="47"/>
      <c r="G247" s="47"/>
      <c r="H247" s="47"/>
      <c r="I247" s="47"/>
      <c r="J247" s="47"/>
      <c r="K247" s="47"/>
      <c r="N247" s="47"/>
      <c r="P247" s="47"/>
      <c r="Q247" s="47"/>
      <c r="R247" s="47"/>
      <c r="S247" s="47"/>
      <c r="U247" s="47"/>
      <c r="Y247" s="47"/>
      <c r="Z247" s="47"/>
      <c r="AA247" s="47"/>
    </row>
    <row r="248" spans="2:27" x14ac:dyDescent="0.2">
      <c r="B248" s="47"/>
      <c r="C248" s="47"/>
      <c r="D248" s="47"/>
      <c r="E248" s="47"/>
      <c r="F248" s="47"/>
      <c r="G248" s="47"/>
      <c r="H248" s="47"/>
      <c r="I248" s="47"/>
      <c r="J248" s="47"/>
      <c r="K248" s="47"/>
      <c r="N248" s="47"/>
      <c r="P248" s="47"/>
      <c r="Q248" s="47"/>
      <c r="R248" s="47"/>
      <c r="S248" s="47"/>
      <c r="U248" s="47"/>
      <c r="Y248" s="47"/>
      <c r="Z248" s="47"/>
      <c r="AA248" s="47"/>
    </row>
    <row r="249" spans="2:27" x14ac:dyDescent="0.2">
      <c r="B249" s="47"/>
      <c r="C249" s="47"/>
      <c r="D249" s="47"/>
      <c r="E249" s="47"/>
      <c r="F249" s="47"/>
      <c r="G249" s="47"/>
      <c r="H249" s="47"/>
      <c r="I249" s="47"/>
      <c r="J249" s="47"/>
      <c r="K249" s="47"/>
      <c r="N249" s="47"/>
      <c r="P249" s="47"/>
      <c r="Q249" s="47"/>
      <c r="R249" s="47"/>
      <c r="S249" s="47"/>
      <c r="U249" s="47"/>
      <c r="Y249" s="47"/>
      <c r="Z249" s="47"/>
      <c r="AA249" s="47"/>
    </row>
    <row r="250" spans="2:27" x14ac:dyDescent="0.2">
      <c r="B250" s="47"/>
      <c r="C250" s="47"/>
      <c r="D250" s="47"/>
      <c r="E250" s="47"/>
      <c r="F250" s="47"/>
      <c r="G250" s="47"/>
      <c r="H250" s="47"/>
      <c r="I250" s="47"/>
      <c r="J250" s="47"/>
      <c r="K250" s="47"/>
      <c r="N250" s="47"/>
      <c r="P250" s="47"/>
      <c r="Q250" s="47"/>
      <c r="R250" s="47"/>
      <c r="S250" s="47"/>
      <c r="U250" s="47"/>
      <c r="Y250" s="47"/>
      <c r="Z250" s="47"/>
      <c r="AA250" s="47"/>
    </row>
    <row r="251" spans="2:27" x14ac:dyDescent="0.2">
      <c r="B251" s="47"/>
      <c r="C251" s="47"/>
      <c r="D251" s="47"/>
      <c r="E251" s="47"/>
      <c r="F251" s="47"/>
      <c r="G251" s="47"/>
      <c r="H251" s="47"/>
      <c r="I251" s="47"/>
      <c r="J251" s="47"/>
      <c r="K251" s="47"/>
      <c r="N251" s="47"/>
      <c r="P251" s="47"/>
      <c r="Q251" s="47"/>
      <c r="R251" s="47"/>
      <c r="S251" s="47"/>
      <c r="U251" s="47"/>
      <c r="Y251" s="47"/>
      <c r="Z251" s="47"/>
      <c r="AA251" s="47"/>
    </row>
    <row r="252" spans="2:27" x14ac:dyDescent="0.2">
      <c r="B252" s="47"/>
      <c r="C252" s="47"/>
      <c r="D252" s="47"/>
      <c r="E252" s="47"/>
      <c r="F252" s="47"/>
      <c r="G252" s="47"/>
      <c r="H252" s="47"/>
      <c r="I252" s="47"/>
      <c r="J252" s="47"/>
      <c r="K252" s="47"/>
      <c r="N252" s="47"/>
      <c r="P252" s="47"/>
      <c r="Q252" s="47"/>
      <c r="R252" s="47"/>
      <c r="S252" s="47"/>
      <c r="U252" s="47"/>
      <c r="Y252" s="47"/>
      <c r="Z252" s="47"/>
      <c r="AA252" s="47"/>
    </row>
    <row r="253" spans="2:27" x14ac:dyDescent="0.2">
      <c r="B253" s="47"/>
      <c r="C253" s="47"/>
      <c r="D253" s="47"/>
      <c r="E253" s="47"/>
      <c r="F253" s="47"/>
      <c r="G253" s="47"/>
      <c r="H253" s="47"/>
      <c r="I253" s="47"/>
      <c r="J253" s="47"/>
      <c r="K253" s="47"/>
      <c r="N253" s="47"/>
      <c r="P253" s="47"/>
      <c r="Q253" s="47"/>
      <c r="R253" s="47"/>
      <c r="S253" s="47"/>
      <c r="U253" s="47"/>
      <c r="Y253" s="47"/>
      <c r="Z253" s="47"/>
      <c r="AA253" s="47"/>
    </row>
    <row r="254" spans="2:27" x14ac:dyDescent="0.2">
      <c r="B254" s="47"/>
      <c r="C254" s="47"/>
      <c r="D254" s="47"/>
      <c r="E254" s="47"/>
      <c r="F254" s="47"/>
      <c r="G254" s="47"/>
      <c r="H254" s="47"/>
      <c r="I254" s="47"/>
      <c r="J254" s="47"/>
      <c r="K254" s="47"/>
      <c r="N254" s="47"/>
      <c r="P254" s="47"/>
      <c r="Q254" s="47"/>
      <c r="R254" s="47"/>
      <c r="S254" s="47"/>
      <c r="U254" s="47"/>
      <c r="Y254" s="47"/>
      <c r="Z254" s="47"/>
      <c r="AA254" s="47"/>
    </row>
    <row r="255" spans="2:27" x14ac:dyDescent="0.2">
      <c r="B255" s="47"/>
      <c r="C255" s="47"/>
      <c r="D255" s="47"/>
      <c r="E255" s="47"/>
      <c r="F255" s="47"/>
      <c r="G255" s="47"/>
      <c r="H255" s="47"/>
      <c r="I255" s="47"/>
      <c r="J255" s="47"/>
      <c r="K255" s="47"/>
      <c r="N255" s="47"/>
      <c r="P255" s="47"/>
      <c r="Q255" s="47"/>
      <c r="R255" s="47"/>
      <c r="S255" s="47"/>
      <c r="U255" s="47"/>
      <c r="Y255" s="47"/>
      <c r="Z255" s="47"/>
      <c r="AA255" s="47"/>
    </row>
    <row r="256" spans="2:27" x14ac:dyDescent="0.2">
      <c r="B256" s="47"/>
      <c r="C256" s="47"/>
      <c r="D256" s="47"/>
      <c r="E256" s="47"/>
      <c r="F256" s="47"/>
      <c r="G256" s="47"/>
      <c r="H256" s="47"/>
      <c r="I256" s="47"/>
      <c r="J256" s="47"/>
      <c r="K256" s="47"/>
      <c r="N256" s="47"/>
      <c r="P256" s="47"/>
      <c r="Q256" s="47"/>
      <c r="R256" s="47"/>
      <c r="S256" s="47"/>
      <c r="U256" s="47"/>
      <c r="Y256" s="47"/>
      <c r="Z256" s="47"/>
      <c r="AA256" s="47"/>
    </row>
    <row r="257" spans="2:27" x14ac:dyDescent="0.2">
      <c r="B257" s="47"/>
      <c r="C257" s="47"/>
      <c r="D257" s="47"/>
      <c r="E257" s="47"/>
      <c r="F257" s="47"/>
      <c r="G257" s="47"/>
      <c r="H257" s="47"/>
      <c r="I257" s="47"/>
      <c r="J257" s="47"/>
      <c r="K257" s="47"/>
      <c r="N257" s="47"/>
      <c r="P257" s="47"/>
      <c r="Q257" s="47"/>
      <c r="R257" s="47"/>
      <c r="S257" s="47"/>
      <c r="U257" s="47"/>
      <c r="Y257" s="47"/>
      <c r="Z257" s="47"/>
      <c r="AA257" s="47"/>
    </row>
    <row r="258" spans="2:27" x14ac:dyDescent="0.2">
      <c r="B258" s="47"/>
      <c r="C258" s="47"/>
      <c r="D258" s="47"/>
      <c r="E258" s="47"/>
      <c r="F258" s="47"/>
      <c r="G258" s="47"/>
      <c r="H258" s="47"/>
      <c r="I258" s="47"/>
      <c r="J258" s="47"/>
      <c r="K258" s="47"/>
      <c r="N258" s="47"/>
      <c r="P258" s="47"/>
      <c r="Q258" s="47"/>
      <c r="R258" s="47"/>
      <c r="S258" s="47"/>
      <c r="U258" s="47"/>
      <c r="Y258" s="47"/>
      <c r="Z258" s="47"/>
      <c r="AA258" s="47"/>
    </row>
    <row r="259" spans="2:27" x14ac:dyDescent="0.2">
      <c r="B259" s="47"/>
      <c r="C259" s="47"/>
      <c r="D259" s="47"/>
      <c r="E259" s="47"/>
      <c r="F259" s="47"/>
      <c r="G259" s="47"/>
      <c r="H259" s="47"/>
      <c r="I259" s="47"/>
      <c r="J259" s="47"/>
      <c r="K259" s="47"/>
      <c r="N259" s="47"/>
      <c r="P259" s="47"/>
      <c r="Q259" s="47"/>
      <c r="R259" s="47"/>
      <c r="S259" s="47"/>
      <c r="U259" s="47"/>
      <c r="Y259" s="47"/>
      <c r="Z259" s="47"/>
      <c r="AA259" s="47"/>
    </row>
    <row r="260" spans="2:27" x14ac:dyDescent="0.2">
      <c r="B260" s="47"/>
      <c r="C260" s="47"/>
      <c r="D260" s="47"/>
      <c r="E260" s="47"/>
      <c r="F260" s="47"/>
      <c r="G260" s="47"/>
      <c r="H260" s="47"/>
      <c r="I260" s="47"/>
      <c r="J260" s="47"/>
      <c r="K260" s="47"/>
      <c r="N260" s="47"/>
      <c r="P260" s="47"/>
      <c r="Q260" s="47"/>
      <c r="R260" s="47"/>
      <c r="S260" s="47"/>
      <c r="U260" s="47"/>
      <c r="Y260" s="47"/>
      <c r="Z260" s="47"/>
      <c r="AA260" s="47"/>
    </row>
    <row r="261" spans="2:27" x14ac:dyDescent="0.2">
      <c r="B261" s="47"/>
      <c r="C261" s="47"/>
      <c r="D261" s="47"/>
      <c r="E261" s="47"/>
      <c r="F261" s="47"/>
      <c r="G261" s="47"/>
      <c r="H261" s="47"/>
      <c r="I261" s="47"/>
      <c r="J261" s="47"/>
      <c r="K261" s="47"/>
      <c r="N261" s="47"/>
      <c r="P261" s="47"/>
      <c r="Q261" s="47"/>
      <c r="R261" s="47"/>
      <c r="S261" s="47"/>
      <c r="U261" s="47"/>
      <c r="Y261" s="47"/>
      <c r="Z261" s="47"/>
      <c r="AA261" s="47"/>
    </row>
    <row r="262" spans="2:27" x14ac:dyDescent="0.2">
      <c r="B262" s="47"/>
      <c r="C262" s="47"/>
      <c r="D262" s="47"/>
      <c r="E262" s="47"/>
      <c r="F262" s="47"/>
      <c r="G262" s="47"/>
      <c r="H262" s="47"/>
      <c r="I262" s="47"/>
      <c r="J262" s="47"/>
      <c r="K262" s="47"/>
      <c r="N262" s="47"/>
      <c r="P262" s="47"/>
      <c r="Q262" s="47"/>
      <c r="R262" s="47"/>
      <c r="S262" s="47"/>
      <c r="U262" s="47"/>
      <c r="Y262" s="47"/>
      <c r="Z262" s="47"/>
      <c r="AA262" s="47"/>
    </row>
    <row r="263" spans="2:27" x14ac:dyDescent="0.2">
      <c r="B263" s="47"/>
      <c r="C263" s="47"/>
      <c r="D263" s="47"/>
      <c r="E263" s="47"/>
      <c r="F263" s="47"/>
      <c r="G263" s="47"/>
      <c r="H263" s="47"/>
      <c r="I263" s="47"/>
      <c r="J263" s="47"/>
      <c r="K263" s="47"/>
      <c r="N263" s="47"/>
      <c r="P263" s="47"/>
      <c r="Q263" s="47"/>
      <c r="R263" s="47"/>
      <c r="S263" s="47"/>
      <c r="U263" s="47"/>
      <c r="Y263" s="47"/>
      <c r="Z263" s="47"/>
      <c r="AA263" s="47"/>
    </row>
    <row r="264" spans="2:27" x14ac:dyDescent="0.2">
      <c r="B264" s="47"/>
      <c r="C264" s="47"/>
      <c r="D264" s="47"/>
      <c r="E264" s="47"/>
      <c r="F264" s="47"/>
      <c r="G264" s="47"/>
      <c r="H264" s="47"/>
      <c r="I264" s="47"/>
      <c r="J264" s="47"/>
      <c r="K264" s="47"/>
      <c r="N264" s="47"/>
      <c r="P264" s="47"/>
      <c r="Q264" s="47"/>
      <c r="R264" s="47"/>
      <c r="S264" s="47"/>
      <c r="U264" s="47"/>
      <c r="Y264" s="47"/>
      <c r="Z264" s="47"/>
      <c r="AA264" s="47"/>
    </row>
    <row r="265" spans="2:27" x14ac:dyDescent="0.2">
      <c r="B265" s="47"/>
      <c r="C265" s="47"/>
      <c r="D265" s="47"/>
      <c r="E265" s="47"/>
      <c r="F265" s="47"/>
      <c r="G265" s="47"/>
      <c r="H265" s="47"/>
      <c r="I265" s="47"/>
      <c r="J265" s="47"/>
      <c r="K265" s="47"/>
      <c r="N265" s="47"/>
      <c r="P265" s="47"/>
      <c r="Q265" s="47"/>
      <c r="R265" s="47"/>
      <c r="S265" s="47"/>
      <c r="U265" s="47"/>
      <c r="Y265" s="47"/>
      <c r="Z265" s="47"/>
      <c r="AA265" s="47"/>
    </row>
    <row r="266" spans="2:27" x14ac:dyDescent="0.2">
      <c r="B266" s="47"/>
      <c r="C266" s="47"/>
      <c r="D266" s="47"/>
      <c r="E266" s="47"/>
      <c r="F266" s="47"/>
      <c r="G266" s="47"/>
      <c r="H266" s="47"/>
      <c r="I266" s="47"/>
      <c r="J266" s="47"/>
      <c r="K266" s="47"/>
      <c r="N266" s="47"/>
      <c r="P266" s="47"/>
      <c r="Q266" s="47"/>
      <c r="R266" s="47"/>
      <c r="S266" s="47"/>
      <c r="U266" s="47"/>
      <c r="Y266" s="47"/>
      <c r="Z266" s="47"/>
      <c r="AA266" s="47"/>
    </row>
    <row r="267" spans="2:27" x14ac:dyDescent="0.2">
      <c r="B267" s="47"/>
      <c r="C267" s="47"/>
      <c r="D267" s="47"/>
      <c r="E267" s="47"/>
      <c r="F267" s="47"/>
      <c r="G267" s="47"/>
      <c r="H267" s="47"/>
      <c r="I267" s="47"/>
      <c r="J267" s="47"/>
      <c r="K267" s="47"/>
      <c r="N267" s="47"/>
      <c r="P267" s="47"/>
      <c r="Q267" s="47"/>
      <c r="R267" s="47"/>
      <c r="S267" s="47"/>
      <c r="U267" s="47"/>
      <c r="Y267" s="47"/>
      <c r="Z267" s="47"/>
      <c r="AA267" s="47"/>
    </row>
    <row r="268" spans="2:27" x14ac:dyDescent="0.2">
      <c r="B268" s="47"/>
      <c r="C268" s="47"/>
      <c r="D268" s="47"/>
      <c r="E268" s="47"/>
      <c r="F268" s="47"/>
      <c r="G268" s="47"/>
      <c r="H268" s="47"/>
      <c r="I268" s="47"/>
      <c r="J268" s="47"/>
      <c r="K268" s="47"/>
      <c r="N268" s="47"/>
      <c r="P268" s="47"/>
      <c r="Q268" s="47"/>
      <c r="R268" s="47"/>
      <c r="S268" s="47"/>
      <c r="U268" s="47"/>
      <c r="Y268" s="47"/>
      <c r="Z268" s="47"/>
      <c r="AA268" s="47"/>
    </row>
    <row r="269" spans="2:27" x14ac:dyDescent="0.2">
      <c r="B269" s="47"/>
      <c r="C269" s="47"/>
      <c r="D269" s="47"/>
      <c r="E269" s="47"/>
      <c r="F269" s="47"/>
      <c r="G269" s="47"/>
      <c r="H269" s="47"/>
      <c r="I269" s="47"/>
      <c r="J269" s="47"/>
      <c r="K269" s="47"/>
      <c r="N269" s="47"/>
      <c r="P269" s="47"/>
      <c r="Q269" s="47"/>
      <c r="R269" s="47"/>
      <c r="S269" s="47"/>
      <c r="U269" s="47"/>
      <c r="Y269" s="47"/>
      <c r="Z269" s="47"/>
      <c r="AA269" s="47"/>
    </row>
    <row r="270" spans="2:27" x14ac:dyDescent="0.2">
      <c r="B270" s="47"/>
      <c r="C270" s="47"/>
      <c r="D270" s="47"/>
      <c r="E270" s="47"/>
      <c r="F270" s="47"/>
      <c r="G270" s="47"/>
      <c r="H270" s="47"/>
      <c r="I270" s="47"/>
      <c r="J270" s="47"/>
      <c r="K270" s="47"/>
      <c r="N270" s="47"/>
      <c r="P270" s="47"/>
      <c r="Q270" s="47"/>
      <c r="R270" s="47"/>
      <c r="S270" s="47"/>
      <c r="U270" s="47"/>
      <c r="Y270" s="47"/>
      <c r="Z270" s="47"/>
      <c r="AA270" s="47"/>
    </row>
    <row r="271" spans="2:27" x14ac:dyDescent="0.2">
      <c r="B271" s="47"/>
      <c r="C271" s="47"/>
      <c r="D271" s="47"/>
      <c r="E271" s="47"/>
      <c r="F271" s="47"/>
      <c r="G271" s="47"/>
      <c r="H271" s="47"/>
      <c r="I271" s="47"/>
      <c r="J271" s="47"/>
      <c r="K271" s="47"/>
      <c r="N271" s="47"/>
      <c r="P271" s="47"/>
      <c r="Q271" s="47"/>
      <c r="R271" s="47"/>
      <c r="S271" s="47"/>
      <c r="U271" s="47"/>
      <c r="Y271" s="47"/>
      <c r="Z271" s="47"/>
      <c r="AA271" s="47"/>
    </row>
    <row r="272" spans="2:27" x14ac:dyDescent="0.2">
      <c r="B272" s="47"/>
      <c r="C272" s="47"/>
      <c r="D272" s="47"/>
      <c r="E272" s="47"/>
      <c r="F272" s="47"/>
      <c r="G272" s="47"/>
      <c r="H272" s="47"/>
      <c r="I272" s="47"/>
      <c r="J272" s="47"/>
      <c r="K272" s="47"/>
      <c r="N272" s="47"/>
      <c r="P272" s="47"/>
      <c r="Q272" s="47"/>
      <c r="R272" s="47"/>
      <c r="S272" s="47"/>
      <c r="U272" s="47"/>
      <c r="Y272" s="47"/>
      <c r="Z272" s="47"/>
      <c r="AA272" s="47"/>
    </row>
    <row r="273" spans="2:27" x14ac:dyDescent="0.2">
      <c r="B273" s="47"/>
      <c r="C273" s="47"/>
      <c r="D273" s="47"/>
      <c r="E273" s="47"/>
      <c r="F273" s="47"/>
      <c r="G273" s="47"/>
      <c r="H273" s="47"/>
      <c r="I273" s="47"/>
      <c r="J273" s="47"/>
      <c r="K273" s="47"/>
      <c r="N273" s="47"/>
      <c r="P273" s="47"/>
      <c r="Q273" s="47"/>
      <c r="R273" s="47"/>
      <c r="S273" s="47"/>
      <c r="U273" s="47"/>
      <c r="Y273" s="47"/>
      <c r="Z273" s="47"/>
      <c r="AA273" s="47"/>
    </row>
    <row r="274" spans="2:27" x14ac:dyDescent="0.2">
      <c r="B274" s="47"/>
      <c r="C274" s="47"/>
      <c r="D274" s="47"/>
      <c r="E274" s="47"/>
      <c r="F274" s="47"/>
      <c r="G274" s="47"/>
      <c r="H274" s="47"/>
      <c r="I274" s="47"/>
      <c r="J274" s="47"/>
      <c r="K274" s="47"/>
      <c r="N274" s="47"/>
      <c r="P274" s="47"/>
      <c r="Q274" s="47"/>
      <c r="R274" s="47"/>
      <c r="S274" s="47"/>
      <c r="U274" s="47"/>
      <c r="Y274" s="47"/>
      <c r="Z274" s="47"/>
      <c r="AA274" s="47"/>
    </row>
    <row r="275" spans="2:27" x14ac:dyDescent="0.2">
      <c r="B275" s="47"/>
      <c r="C275" s="47"/>
      <c r="D275" s="47"/>
      <c r="E275" s="47"/>
      <c r="F275" s="47"/>
      <c r="G275" s="47"/>
      <c r="H275" s="47"/>
      <c r="I275" s="47"/>
      <c r="J275" s="47"/>
      <c r="K275" s="47"/>
      <c r="N275" s="47"/>
      <c r="P275" s="47"/>
      <c r="Q275" s="47"/>
      <c r="R275" s="47"/>
      <c r="S275" s="47"/>
      <c r="U275" s="47"/>
      <c r="Y275" s="47"/>
      <c r="Z275" s="47"/>
      <c r="AA275" s="47"/>
    </row>
    <row r="276" spans="2:27" x14ac:dyDescent="0.2">
      <c r="B276" s="47"/>
      <c r="C276" s="47"/>
      <c r="D276" s="47"/>
      <c r="E276" s="47"/>
      <c r="F276" s="47"/>
      <c r="G276" s="47"/>
      <c r="H276" s="47"/>
      <c r="I276" s="47"/>
      <c r="J276" s="47"/>
      <c r="K276" s="47"/>
      <c r="N276" s="47"/>
      <c r="P276" s="47"/>
      <c r="Q276" s="47"/>
      <c r="R276" s="47"/>
      <c r="S276" s="47"/>
      <c r="U276" s="47"/>
      <c r="Y276" s="47"/>
      <c r="Z276" s="47"/>
      <c r="AA276" s="47"/>
    </row>
    <row r="277" spans="2:27" x14ac:dyDescent="0.2">
      <c r="B277" s="47"/>
      <c r="C277" s="47"/>
      <c r="D277" s="47"/>
      <c r="E277" s="47"/>
      <c r="F277" s="47"/>
      <c r="G277" s="47"/>
      <c r="H277" s="47"/>
      <c r="I277" s="47"/>
      <c r="J277" s="47"/>
      <c r="K277" s="47"/>
      <c r="N277" s="47"/>
      <c r="P277" s="47"/>
      <c r="Q277" s="47"/>
      <c r="R277" s="47"/>
      <c r="S277" s="47"/>
      <c r="U277" s="47"/>
      <c r="Y277" s="47"/>
      <c r="Z277" s="47"/>
      <c r="AA277" s="47"/>
    </row>
    <row r="278" spans="2:27" x14ac:dyDescent="0.2">
      <c r="B278" s="47"/>
      <c r="C278" s="47"/>
      <c r="D278" s="47"/>
      <c r="E278" s="47"/>
      <c r="F278" s="47"/>
      <c r="G278" s="47"/>
      <c r="H278" s="47"/>
      <c r="I278" s="47"/>
      <c r="J278" s="47"/>
      <c r="K278" s="47"/>
      <c r="N278" s="47"/>
      <c r="P278" s="47"/>
      <c r="Q278" s="47"/>
      <c r="R278" s="47"/>
      <c r="S278" s="47"/>
      <c r="U278" s="47"/>
      <c r="Y278" s="47"/>
      <c r="Z278" s="47"/>
      <c r="AA278" s="47"/>
    </row>
    <row r="279" spans="2:27" x14ac:dyDescent="0.2">
      <c r="B279" s="47"/>
      <c r="C279" s="47"/>
      <c r="D279" s="47"/>
      <c r="E279" s="47"/>
      <c r="F279" s="47"/>
      <c r="G279" s="47"/>
      <c r="H279" s="47"/>
      <c r="I279" s="47"/>
      <c r="J279" s="47"/>
      <c r="K279" s="47"/>
      <c r="N279" s="47"/>
      <c r="P279" s="47"/>
      <c r="Q279" s="47"/>
      <c r="R279" s="47"/>
      <c r="S279" s="47"/>
      <c r="U279" s="47"/>
      <c r="Y279" s="47"/>
      <c r="Z279" s="47"/>
      <c r="AA279" s="47"/>
    </row>
    <row r="280" spans="2:27" x14ac:dyDescent="0.2">
      <c r="B280" s="47"/>
      <c r="C280" s="47"/>
      <c r="D280" s="47"/>
      <c r="E280" s="47"/>
      <c r="F280" s="47"/>
      <c r="G280" s="47"/>
      <c r="H280" s="47"/>
      <c r="I280" s="47"/>
      <c r="J280" s="47"/>
      <c r="K280" s="47"/>
      <c r="N280" s="47"/>
      <c r="P280" s="47"/>
      <c r="Q280" s="47"/>
      <c r="R280" s="47"/>
      <c r="S280" s="47"/>
      <c r="U280" s="47"/>
      <c r="Y280" s="47"/>
      <c r="Z280" s="47"/>
      <c r="AA280" s="47"/>
    </row>
    <row r="281" spans="2:27" x14ac:dyDescent="0.2">
      <c r="B281" s="47"/>
      <c r="C281" s="47"/>
      <c r="D281" s="47"/>
      <c r="E281" s="47"/>
      <c r="F281" s="47"/>
      <c r="G281" s="47"/>
      <c r="H281" s="47"/>
      <c r="I281" s="47"/>
      <c r="J281" s="47"/>
      <c r="K281" s="47"/>
      <c r="N281" s="47"/>
      <c r="P281" s="47"/>
      <c r="Q281" s="47"/>
      <c r="R281" s="47"/>
      <c r="S281" s="47"/>
      <c r="U281" s="47"/>
      <c r="Y281" s="47"/>
      <c r="Z281" s="47"/>
      <c r="AA281" s="47"/>
    </row>
    <row r="282" spans="2:27" x14ac:dyDescent="0.2">
      <c r="B282" s="47"/>
      <c r="C282" s="47"/>
      <c r="D282" s="47"/>
      <c r="E282" s="47"/>
      <c r="F282" s="47"/>
      <c r="G282" s="47"/>
      <c r="H282" s="47"/>
      <c r="I282" s="47"/>
      <c r="J282" s="47"/>
      <c r="K282" s="47"/>
      <c r="N282" s="47"/>
      <c r="P282" s="47"/>
      <c r="Q282" s="47"/>
      <c r="R282" s="47"/>
      <c r="S282" s="47"/>
      <c r="U282" s="47"/>
      <c r="Y282" s="47"/>
      <c r="Z282" s="47"/>
      <c r="AA282" s="47"/>
    </row>
    <row r="283" spans="2:27" x14ac:dyDescent="0.2">
      <c r="B283" s="47"/>
      <c r="C283" s="47"/>
      <c r="D283" s="47"/>
      <c r="E283" s="47"/>
      <c r="F283" s="47"/>
      <c r="G283" s="47"/>
      <c r="H283" s="47"/>
      <c r="I283" s="47"/>
      <c r="J283" s="47"/>
      <c r="K283" s="47"/>
      <c r="N283" s="47"/>
      <c r="P283" s="47"/>
      <c r="Q283" s="47"/>
      <c r="R283" s="47"/>
      <c r="S283" s="47"/>
      <c r="U283" s="47"/>
      <c r="Y283" s="47"/>
      <c r="Z283" s="47"/>
      <c r="AA283" s="47"/>
    </row>
    <row r="284" spans="2:27" x14ac:dyDescent="0.2">
      <c r="B284" s="47"/>
      <c r="C284" s="47"/>
      <c r="D284" s="47"/>
      <c r="E284" s="47"/>
      <c r="F284" s="47"/>
      <c r="G284" s="47"/>
      <c r="H284" s="47"/>
      <c r="I284" s="47"/>
      <c r="J284" s="47"/>
      <c r="K284" s="47"/>
      <c r="N284" s="47"/>
      <c r="P284" s="47"/>
      <c r="Q284" s="47"/>
      <c r="R284" s="47"/>
      <c r="S284" s="47"/>
      <c r="U284" s="47"/>
      <c r="Y284" s="47"/>
      <c r="Z284" s="47"/>
      <c r="AA284" s="47"/>
    </row>
    <row r="285" spans="2:27" x14ac:dyDescent="0.2">
      <c r="B285" s="47"/>
      <c r="C285" s="47"/>
      <c r="D285" s="47"/>
      <c r="E285" s="47"/>
      <c r="F285" s="47"/>
      <c r="G285" s="47"/>
      <c r="H285" s="47"/>
      <c r="I285" s="47"/>
      <c r="J285" s="47"/>
      <c r="K285" s="47"/>
      <c r="N285" s="47"/>
      <c r="P285" s="47"/>
      <c r="Q285" s="47"/>
      <c r="R285" s="47"/>
      <c r="S285" s="47"/>
      <c r="U285" s="47"/>
      <c r="Y285" s="47"/>
      <c r="Z285" s="47"/>
      <c r="AA285" s="47"/>
    </row>
    <row r="286" spans="2:27" x14ac:dyDescent="0.2">
      <c r="B286" s="47"/>
      <c r="C286" s="47"/>
      <c r="D286" s="47"/>
      <c r="E286" s="47"/>
      <c r="F286" s="47"/>
      <c r="G286" s="47"/>
      <c r="H286" s="47"/>
      <c r="I286" s="47"/>
      <c r="J286" s="47"/>
      <c r="K286" s="47"/>
      <c r="N286" s="47"/>
      <c r="P286" s="47"/>
      <c r="Q286" s="47"/>
      <c r="R286" s="47"/>
      <c r="S286" s="47"/>
      <c r="U286" s="47"/>
      <c r="Y286" s="47"/>
      <c r="Z286" s="47"/>
      <c r="AA286" s="47"/>
    </row>
    <row r="287" spans="2:27" x14ac:dyDescent="0.2">
      <c r="B287" s="47"/>
      <c r="C287" s="47"/>
      <c r="D287" s="47"/>
      <c r="E287" s="47"/>
      <c r="F287" s="47"/>
      <c r="G287" s="47"/>
      <c r="H287" s="47"/>
      <c r="I287" s="47"/>
      <c r="J287" s="47"/>
      <c r="K287" s="47"/>
      <c r="N287" s="47"/>
      <c r="P287" s="47"/>
      <c r="Q287" s="47"/>
      <c r="R287" s="47"/>
      <c r="S287" s="47"/>
      <c r="U287" s="47"/>
      <c r="Y287" s="47"/>
      <c r="Z287" s="47"/>
      <c r="AA287" s="47"/>
    </row>
    <row r="288" spans="2:27" x14ac:dyDescent="0.2">
      <c r="B288" s="47"/>
      <c r="C288" s="47"/>
      <c r="D288" s="47"/>
      <c r="E288" s="47"/>
      <c r="F288" s="47"/>
      <c r="G288" s="47"/>
      <c r="H288" s="47"/>
      <c r="I288" s="47"/>
      <c r="J288" s="47"/>
      <c r="K288" s="47"/>
      <c r="N288" s="47"/>
      <c r="P288" s="47"/>
      <c r="Q288" s="47"/>
      <c r="R288" s="47"/>
      <c r="S288" s="47"/>
      <c r="U288" s="47"/>
      <c r="Y288" s="47"/>
      <c r="Z288" s="47"/>
      <c r="AA288" s="47"/>
    </row>
    <row r="289" spans="2:27" x14ac:dyDescent="0.2">
      <c r="B289" s="47"/>
      <c r="C289" s="47"/>
      <c r="D289" s="47"/>
      <c r="E289" s="47"/>
      <c r="F289" s="47"/>
      <c r="G289" s="47"/>
      <c r="H289" s="47"/>
      <c r="I289" s="47"/>
      <c r="J289" s="47"/>
      <c r="K289" s="47"/>
      <c r="N289" s="47"/>
      <c r="P289" s="47"/>
      <c r="Q289" s="47"/>
      <c r="R289" s="47"/>
      <c r="S289" s="47"/>
      <c r="U289" s="47"/>
      <c r="Y289" s="47"/>
      <c r="Z289" s="47"/>
      <c r="AA289" s="47"/>
    </row>
    <row r="290" spans="2:27" x14ac:dyDescent="0.2">
      <c r="B290" s="47"/>
      <c r="C290" s="47"/>
      <c r="D290" s="47"/>
      <c r="E290" s="47"/>
      <c r="F290" s="47"/>
      <c r="G290" s="47"/>
      <c r="H290" s="47"/>
      <c r="I290" s="47"/>
      <c r="J290" s="47"/>
      <c r="K290" s="47"/>
      <c r="N290" s="47"/>
      <c r="P290" s="47"/>
      <c r="Q290" s="47"/>
      <c r="R290" s="47"/>
      <c r="S290" s="47"/>
      <c r="U290" s="47"/>
      <c r="Y290" s="47"/>
      <c r="Z290" s="47"/>
      <c r="AA290" s="47"/>
    </row>
    <row r="291" spans="2:27" x14ac:dyDescent="0.2">
      <c r="B291" s="47"/>
      <c r="C291" s="47"/>
      <c r="D291" s="47"/>
      <c r="E291" s="47"/>
      <c r="F291" s="47"/>
      <c r="G291" s="47"/>
      <c r="H291" s="47"/>
      <c r="I291" s="47"/>
      <c r="J291" s="47"/>
      <c r="K291" s="47"/>
      <c r="N291" s="47"/>
      <c r="P291" s="47"/>
      <c r="Q291" s="47"/>
      <c r="R291" s="47"/>
      <c r="S291" s="47"/>
      <c r="U291" s="47"/>
      <c r="Y291" s="47"/>
      <c r="Z291" s="47"/>
      <c r="AA291" s="47"/>
    </row>
    <row r="292" spans="2:27" x14ac:dyDescent="0.2">
      <c r="B292" s="47"/>
      <c r="C292" s="47"/>
      <c r="D292" s="47"/>
      <c r="E292" s="47"/>
      <c r="F292" s="47"/>
      <c r="G292" s="47"/>
      <c r="H292" s="47"/>
      <c r="I292" s="47"/>
      <c r="J292" s="47"/>
      <c r="K292" s="47"/>
      <c r="N292" s="47"/>
      <c r="P292" s="47"/>
      <c r="Q292" s="47"/>
      <c r="R292" s="47"/>
      <c r="S292" s="47"/>
      <c r="U292" s="47"/>
      <c r="Y292" s="47"/>
      <c r="Z292" s="47"/>
      <c r="AA292" s="47"/>
    </row>
    <row r="293" spans="2:27" x14ac:dyDescent="0.2">
      <c r="B293" s="47"/>
      <c r="C293" s="47"/>
      <c r="D293" s="47"/>
      <c r="E293" s="47"/>
      <c r="F293" s="47"/>
      <c r="G293" s="47"/>
      <c r="H293" s="47"/>
      <c r="I293" s="47"/>
      <c r="J293" s="47"/>
      <c r="K293" s="47"/>
      <c r="N293" s="47"/>
      <c r="P293" s="47"/>
      <c r="Q293" s="47"/>
      <c r="R293" s="47"/>
      <c r="S293" s="47"/>
      <c r="U293" s="47"/>
      <c r="Y293" s="47"/>
      <c r="Z293" s="47"/>
      <c r="AA293" s="47"/>
    </row>
    <row r="294" spans="2:27" x14ac:dyDescent="0.2">
      <c r="B294" s="47"/>
      <c r="C294" s="47"/>
      <c r="D294" s="47"/>
      <c r="E294" s="47"/>
      <c r="F294" s="47"/>
      <c r="G294" s="47"/>
      <c r="H294" s="47"/>
      <c r="I294" s="47"/>
      <c r="J294" s="47"/>
      <c r="K294" s="47"/>
      <c r="N294" s="47"/>
      <c r="P294" s="47"/>
      <c r="Q294" s="47"/>
      <c r="R294" s="47"/>
      <c r="S294" s="47"/>
      <c r="U294" s="47"/>
      <c r="Y294" s="47"/>
      <c r="Z294" s="47"/>
      <c r="AA294" s="47"/>
    </row>
    <row r="295" spans="2:27" x14ac:dyDescent="0.2">
      <c r="B295" s="47"/>
      <c r="C295" s="47"/>
      <c r="D295" s="47"/>
      <c r="E295" s="47"/>
      <c r="F295" s="47"/>
      <c r="G295" s="47"/>
      <c r="H295" s="47"/>
      <c r="I295" s="47"/>
      <c r="J295" s="47"/>
      <c r="K295" s="47"/>
      <c r="N295" s="47"/>
      <c r="P295" s="47"/>
      <c r="Q295" s="47"/>
      <c r="R295" s="47"/>
      <c r="S295" s="47"/>
      <c r="U295" s="47"/>
      <c r="Y295" s="47"/>
      <c r="Z295" s="47"/>
      <c r="AA295" s="47"/>
    </row>
    <row r="296" spans="2:27" x14ac:dyDescent="0.2">
      <c r="B296" s="47"/>
      <c r="C296" s="47"/>
      <c r="D296" s="47"/>
      <c r="E296" s="47"/>
      <c r="F296" s="47"/>
      <c r="G296" s="47"/>
      <c r="H296" s="47"/>
      <c r="I296" s="47"/>
      <c r="J296" s="47"/>
      <c r="K296" s="47"/>
      <c r="N296" s="47"/>
      <c r="P296" s="47"/>
      <c r="Q296" s="47"/>
      <c r="R296" s="47"/>
      <c r="S296" s="47"/>
      <c r="U296" s="47"/>
      <c r="Y296" s="47"/>
      <c r="Z296" s="47"/>
      <c r="AA296" s="47"/>
    </row>
    <row r="297" spans="2:27" x14ac:dyDescent="0.2">
      <c r="B297" s="47"/>
      <c r="C297" s="47"/>
      <c r="D297" s="47"/>
      <c r="E297" s="47"/>
      <c r="F297" s="47"/>
      <c r="G297" s="47"/>
      <c r="H297" s="47"/>
      <c r="I297" s="47"/>
      <c r="J297" s="47"/>
      <c r="K297" s="47"/>
      <c r="N297" s="47"/>
      <c r="P297" s="47"/>
      <c r="Q297" s="47"/>
      <c r="R297" s="47"/>
      <c r="S297" s="47"/>
      <c r="U297" s="47"/>
      <c r="Y297" s="47"/>
      <c r="Z297" s="47"/>
      <c r="AA297" s="47"/>
    </row>
    <row r="298" spans="2:27" x14ac:dyDescent="0.2">
      <c r="B298" s="47"/>
      <c r="C298" s="47"/>
      <c r="D298" s="47"/>
      <c r="E298" s="47"/>
      <c r="F298" s="47"/>
      <c r="G298" s="47"/>
      <c r="H298" s="47"/>
      <c r="I298" s="47"/>
      <c r="J298" s="47"/>
      <c r="K298" s="47"/>
      <c r="N298" s="47"/>
      <c r="P298" s="47"/>
      <c r="Q298" s="47"/>
      <c r="R298" s="47"/>
      <c r="S298" s="47"/>
      <c r="U298" s="47"/>
      <c r="Y298" s="47"/>
      <c r="Z298" s="47"/>
      <c r="AA298" s="47"/>
    </row>
    <row r="299" spans="2:27" x14ac:dyDescent="0.2">
      <c r="B299" s="47"/>
      <c r="C299" s="47"/>
      <c r="D299" s="47"/>
      <c r="E299" s="47"/>
      <c r="F299" s="47"/>
      <c r="G299" s="47"/>
      <c r="H299" s="47"/>
      <c r="I299" s="47"/>
      <c r="J299" s="47"/>
      <c r="K299" s="47"/>
      <c r="N299" s="47"/>
      <c r="P299" s="47"/>
      <c r="Q299" s="47"/>
      <c r="R299" s="47"/>
      <c r="S299" s="47"/>
      <c r="U299" s="47"/>
      <c r="Y299" s="47"/>
      <c r="Z299" s="47"/>
      <c r="AA299" s="47"/>
    </row>
    <row r="300" spans="2:27" x14ac:dyDescent="0.2">
      <c r="B300" s="47"/>
      <c r="C300" s="47"/>
      <c r="D300" s="47"/>
      <c r="E300" s="47"/>
      <c r="F300" s="47"/>
      <c r="G300" s="47"/>
      <c r="H300" s="47"/>
      <c r="I300" s="47"/>
      <c r="J300" s="47"/>
      <c r="K300" s="47"/>
      <c r="N300" s="47"/>
      <c r="P300" s="47"/>
      <c r="Q300" s="47"/>
      <c r="R300" s="47"/>
      <c r="S300" s="47"/>
      <c r="U300" s="47"/>
      <c r="Y300" s="47"/>
      <c r="Z300" s="47"/>
      <c r="AA300" s="47"/>
    </row>
    <row r="301" spans="2:27" x14ac:dyDescent="0.2">
      <c r="B301" s="47"/>
      <c r="C301" s="47"/>
      <c r="D301" s="47"/>
      <c r="E301" s="47"/>
      <c r="F301" s="47"/>
      <c r="G301" s="47"/>
      <c r="H301" s="47"/>
      <c r="I301" s="47"/>
      <c r="J301" s="47"/>
      <c r="K301" s="47"/>
      <c r="N301" s="47"/>
      <c r="P301" s="47"/>
      <c r="Q301" s="47"/>
      <c r="R301" s="47"/>
      <c r="S301" s="47"/>
      <c r="U301" s="47"/>
      <c r="Y301" s="47"/>
      <c r="Z301" s="47"/>
      <c r="AA301" s="47"/>
    </row>
    <row r="302" spans="2:27" x14ac:dyDescent="0.2">
      <c r="B302" s="47"/>
      <c r="C302" s="47"/>
      <c r="D302" s="47"/>
      <c r="E302" s="47"/>
      <c r="F302" s="47"/>
      <c r="G302" s="47"/>
      <c r="H302" s="47"/>
      <c r="I302" s="47"/>
      <c r="J302" s="47"/>
      <c r="K302" s="47"/>
      <c r="N302" s="47"/>
      <c r="P302" s="47"/>
      <c r="Q302" s="47"/>
      <c r="R302" s="47"/>
      <c r="S302" s="47"/>
      <c r="U302" s="47"/>
      <c r="Y302" s="47"/>
      <c r="Z302" s="47"/>
      <c r="AA302" s="47"/>
    </row>
    <row r="303" spans="2:27" x14ac:dyDescent="0.2">
      <c r="B303" s="47"/>
      <c r="C303" s="47"/>
      <c r="D303" s="47"/>
      <c r="E303" s="47"/>
      <c r="F303" s="47"/>
      <c r="G303" s="47"/>
      <c r="H303" s="47"/>
      <c r="I303" s="47"/>
      <c r="J303" s="47"/>
      <c r="K303" s="47"/>
      <c r="N303" s="47"/>
      <c r="P303" s="47"/>
      <c r="Q303" s="47"/>
      <c r="R303" s="47"/>
      <c r="S303" s="47"/>
      <c r="U303" s="47"/>
      <c r="Y303" s="47"/>
      <c r="Z303" s="47"/>
      <c r="AA303" s="47"/>
    </row>
    <row r="304" spans="2:27" x14ac:dyDescent="0.2">
      <c r="B304" s="47"/>
      <c r="C304" s="47"/>
      <c r="D304" s="47"/>
      <c r="E304" s="47"/>
      <c r="F304" s="47"/>
      <c r="G304" s="47"/>
      <c r="H304" s="47"/>
      <c r="I304" s="47"/>
      <c r="J304" s="47"/>
      <c r="K304" s="47"/>
      <c r="N304" s="47"/>
      <c r="P304" s="47"/>
      <c r="Q304" s="47"/>
      <c r="R304" s="47"/>
      <c r="S304" s="47"/>
      <c r="U304" s="47"/>
      <c r="Y304" s="47"/>
      <c r="Z304" s="47"/>
      <c r="AA304" s="47"/>
    </row>
    <row r="305" spans="2:27" x14ac:dyDescent="0.2">
      <c r="B305" s="47"/>
      <c r="C305" s="47"/>
      <c r="D305" s="47"/>
      <c r="E305" s="47"/>
      <c r="F305" s="47"/>
      <c r="G305" s="47"/>
      <c r="H305" s="47"/>
      <c r="I305" s="47"/>
      <c r="J305" s="47"/>
      <c r="K305" s="47"/>
      <c r="N305" s="47"/>
      <c r="P305" s="47"/>
      <c r="Q305" s="47"/>
      <c r="R305" s="47"/>
      <c r="S305" s="47"/>
      <c r="U305" s="47"/>
      <c r="Y305" s="47"/>
      <c r="Z305" s="47"/>
      <c r="AA305" s="47"/>
    </row>
    <row r="306" spans="2:27" x14ac:dyDescent="0.2">
      <c r="B306" s="47"/>
      <c r="C306" s="47"/>
      <c r="D306" s="47"/>
      <c r="E306" s="47"/>
      <c r="F306" s="47"/>
      <c r="G306" s="47"/>
      <c r="H306" s="47"/>
      <c r="I306" s="47"/>
      <c r="J306" s="47"/>
      <c r="K306" s="47"/>
      <c r="N306" s="47"/>
      <c r="P306" s="47"/>
      <c r="Q306" s="47"/>
      <c r="R306" s="47"/>
      <c r="S306" s="47"/>
      <c r="U306" s="47"/>
      <c r="Y306" s="47"/>
      <c r="Z306" s="47"/>
      <c r="AA306" s="47"/>
    </row>
    <row r="307" spans="2:27" x14ac:dyDescent="0.2">
      <c r="B307" s="47"/>
      <c r="C307" s="47"/>
      <c r="D307" s="47"/>
      <c r="E307" s="47"/>
      <c r="F307" s="47"/>
      <c r="G307" s="47"/>
      <c r="H307" s="47"/>
      <c r="I307" s="47"/>
      <c r="J307" s="47"/>
      <c r="K307" s="47"/>
      <c r="N307" s="47"/>
      <c r="P307" s="47"/>
      <c r="Q307" s="47"/>
      <c r="R307" s="47"/>
      <c r="S307" s="47"/>
      <c r="U307" s="47"/>
      <c r="Y307" s="47"/>
      <c r="Z307" s="47"/>
      <c r="AA307" s="47"/>
    </row>
    <row r="308" spans="2:27" x14ac:dyDescent="0.2">
      <c r="B308" s="47"/>
      <c r="C308" s="47"/>
      <c r="D308" s="47"/>
      <c r="E308" s="47"/>
      <c r="F308" s="47"/>
      <c r="G308" s="47"/>
      <c r="H308" s="47"/>
      <c r="I308" s="47"/>
      <c r="J308" s="47"/>
      <c r="K308" s="47"/>
      <c r="N308" s="47"/>
      <c r="P308" s="47"/>
      <c r="Q308" s="47"/>
      <c r="R308" s="47"/>
      <c r="S308" s="47"/>
      <c r="U308" s="47"/>
      <c r="Y308" s="47"/>
      <c r="Z308" s="47"/>
      <c r="AA308" s="47"/>
    </row>
    <row r="309" spans="2:27" x14ac:dyDescent="0.2">
      <c r="B309" s="47"/>
      <c r="C309" s="47"/>
      <c r="D309" s="47"/>
      <c r="E309" s="47"/>
      <c r="F309" s="47"/>
      <c r="G309" s="47"/>
      <c r="H309" s="47"/>
      <c r="I309" s="47"/>
      <c r="J309" s="47"/>
      <c r="K309" s="47"/>
      <c r="N309" s="47"/>
      <c r="P309" s="47"/>
      <c r="Q309" s="47"/>
      <c r="R309" s="47"/>
      <c r="S309" s="47"/>
      <c r="U309" s="47"/>
      <c r="Y309" s="47"/>
      <c r="Z309" s="47"/>
      <c r="AA309" s="47"/>
    </row>
    <row r="310" spans="2:27" x14ac:dyDescent="0.2">
      <c r="B310" s="47"/>
      <c r="C310" s="47"/>
      <c r="D310" s="47"/>
      <c r="E310" s="47"/>
      <c r="F310" s="47"/>
      <c r="G310" s="47"/>
      <c r="H310" s="47"/>
      <c r="I310" s="47"/>
      <c r="J310" s="47"/>
      <c r="K310" s="47"/>
      <c r="N310" s="47"/>
      <c r="P310" s="47"/>
      <c r="Q310" s="47"/>
      <c r="R310" s="47"/>
      <c r="S310" s="47"/>
      <c r="U310" s="47"/>
      <c r="Y310" s="47"/>
      <c r="Z310" s="47"/>
      <c r="AA310" s="47"/>
    </row>
    <row r="311" spans="2:27" x14ac:dyDescent="0.2">
      <c r="B311" s="47"/>
      <c r="C311" s="47"/>
      <c r="D311" s="47"/>
      <c r="E311" s="47"/>
      <c r="F311" s="47"/>
      <c r="G311" s="47"/>
      <c r="H311" s="47"/>
      <c r="I311" s="47"/>
      <c r="J311" s="47"/>
      <c r="K311" s="47"/>
      <c r="N311" s="47"/>
      <c r="P311" s="47"/>
      <c r="Q311" s="47"/>
      <c r="R311" s="47"/>
      <c r="S311" s="47"/>
      <c r="U311" s="47"/>
      <c r="Y311" s="47"/>
      <c r="Z311" s="47"/>
      <c r="AA311" s="47"/>
    </row>
    <row r="312" spans="2:27" x14ac:dyDescent="0.2">
      <c r="B312" s="47"/>
      <c r="C312" s="47"/>
      <c r="D312" s="47"/>
      <c r="E312" s="47"/>
      <c r="F312" s="47"/>
      <c r="G312" s="47"/>
      <c r="H312" s="47"/>
      <c r="I312" s="47"/>
      <c r="J312" s="47"/>
      <c r="K312" s="47"/>
      <c r="N312" s="47"/>
      <c r="P312" s="47"/>
      <c r="Q312" s="47"/>
      <c r="R312" s="47"/>
      <c r="S312" s="47"/>
      <c r="U312" s="47"/>
      <c r="Y312" s="47"/>
      <c r="Z312" s="47"/>
      <c r="AA312" s="47"/>
    </row>
    <row r="313" spans="2:27" x14ac:dyDescent="0.2">
      <c r="B313" s="47"/>
      <c r="C313" s="47"/>
      <c r="D313" s="47"/>
      <c r="E313" s="47"/>
      <c r="F313" s="47"/>
      <c r="G313" s="47"/>
      <c r="H313" s="47"/>
      <c r="I313" s="47"/>
      <c r="J313" s="47"/>
      <c r="K313" s="47"/>
      <c r="N313" s="47"/>
      <c r="P313" s="47"/>
      <c r="Q313" s="47"/>
      <c r="R313" s="47"/>
      <c r="S313" s="47"/>
      <c r="U313" s="47"/>
      <c r="Y313" s="47"/>
      <c r="Z313" s="47"/>
      <c r="AA313" s="47"/>
    </row>
    <row r="314" spans="2:27" x14ac:dyDescent="0.2">
      <c r="B314" s="47"/>
      <c r="C314" s="47"/>
      <c r="D314" s="47"/>
      <c r="E314" s="47"/>
      <c r="F314" s="47"/>
      <c r="G314" s="47"/>
      <c r="H314" s="47"/>
      <c r="I314" s="47"/>
      <c r="J314" s="47"/>
      <c r="K314" s="47"/>
      <c r="N314" s="47"/>
      <c r="P314" s="47"/>
      <c r="Q314" s="47"/>
      <c r="R314" s="47"/>
      <c r="S314" s="47"/>
      <c r="U314" s="47"/>
      <c r="Y314" s="47"/>
      <c r="Z314" s="47"/>
      <c r="AA314" s="47"/>
    </row>
    <row r="315" spans="2:27" x14ac:dyDescent="0.2">
      <c r="B315" s="47"/>
      <c r="C315" s="47"/>
      <c r="D315" s="47"/>
      <c r="E315" s="47"/>
      <c r="F315" s="47"/>
      <c r="G315" s="47"/>
      <c r="H315" s="47"/>
      <c r="I315" s="47"/>
      <c r="J315" s="47"/>
      <c r="K315" s="47"/>
      <c r="N315" s="47"/>
      <c r="P315" s="47"/>
      <c r="Q315" s="47"/>
      <c r="R315" s="47"/>
      <c r="S315" s="47"/>
      <c r="U315" s="47"/>
      <c r="Y315" s="47"/>
      <c r="Z315" s="47"/>
      <c r="AA315" s="47"/>
    </row>
    <row r="316" spans="2:27" x14ac:dyDescent="0.2">
      <c r="B316" s="47"/>
      <c r="C316" s="47"/>
      <c r="D316" s="47"/>
      <c r="E316" s="47"/>
      <c r="F316" s="47"/>
      <c r="G316" s="47"/>
      <c r="H316" s="47"/>
      <c r="I316" s="47"/>
      <c r="J316" s="47"/>
      <c r="K316" s="47"/>
      <c r="N316" s="47"/>
      <c r="P316" s="47"/>
      <c r="Q316" s="47"/>
      <c r="R316" s="47"/>
      <c r="S316" s="47"/>
      <c r="U316" s="47"/>
      <c r="Y316" s="47"/>
      <c r="Z316" s="47"/>
      <c r="AA316" s="47"/>
    </row>
    <row r="317" spans="2:27" x14ac:dyDescent="0.2">
      <c r="B317" s="47"/>
      <c r="C317" s="47"/>
      <c r="D317" s="47"/>
      <c r="E317" s="47"/>
      <c r="F317" s="47"/>
      <c r="G317" s="47"/>
      <c r="H317" s="47"/>
      <c r="I317" s="47"/>
      <c r="J317" s="47"/>
      <c r="K317" s="47"/>
      <c r="N317" s="47"/>
      <c r="P317" s="47"/>
      <c r="Q317" s="47"/>
      <c r="R317" s="47"/>
      <c r="S317" s="47"/>
      <c r="U317" s="47"/>
      <c r="Y317" s="47"/>
      <c r="Z317" s="47"/>
      <c r="AA317" s="47"/>
    </row>
    <row r="318" spans="2:27" x14ac:dyDescent="0.2">
      <c r="B318" s="47"/>
      <c r="C318" s="47"/>
      <c r="D318" s="47"/>
      <c r="E318" s="47"/>
      <c r="F318" s="47"/>
      <c r="G318" s="47"/>
      <c r="H318" s="47"/>
      <c r="I318" s="47"/>
      <c r="J318" s="47"/>
      <c r="K318" s="47"/>
      <c r="N318" s="47"/>
      <c r="P318" s="47"/>
      <c r="Q318" s="47"/>
      <c r="R318" s="47"/>
      <c r="S318" s="47"/>
      <c r="U318" s="47"/>
      <c r="Y318" s="47"/>
      <c r="Z318" s="47"/>
      <c r="AA318" s="47"/>
    </row>
    <row r="319" spans="2:27" x14ac:dyDescent="0.2">
      <c r="B319" s="47"/>
      <c r="C319" s="47"/>
      <c r="D319" s="47"/>
      <c r="E319" s="47"/>
      <c r="F319" s="47"/>
      <c r="G319" s="47"/>
      <c r="H319" s="47"/>
      <c r="I319" s="47"/>
      <c r="J319" s="47"/>
      <c r="K319" s="47"/>
      <c r="N319" s="47"/>
      <c r="P319" s="47"/>
      <c r="Q319" s="47"/>
      <c r="R319" s="47"/>
      <c r="S319" s="47"/>
      <c r="U319" s="47"/>
      <c r="Y319" s="47"/>
      <c r="Z319" s="47"/>
      <c r="AA319" s="47"/>
    </row>
    <row r="320" spans="2:27" x14ac:dyDescent="0.2">
      <c r="B320" s="47"/>
      <c r="C320" s="47"/>
      <c r="D320" s="47"/>
      <c r="E320" s="47"/>
      <c r="F320" s="47"/>
      <c r="G320" s="47"/>
      <c r="H320" s="47"/>
      <c r="I320" s="47"/>
      <c r="J320" s="47"/>
      <c r="K320" s="47"/>
      <c r="N320" s="47"/>
      <c r="P320" s="47"/>
      <c r="Q320" s="47"/>
      <c r="R320" s="47"/>
      <c r="S320" s="47"/>
      <c r="U320" s="47"/>
      <c r="Y320" s="47"/>
      <c r="Z320" s="47"/>
      <c r="AA320" s="47"/>
    </row>
    <row r="321" spans="2:27" x14ac:dyDescent="0.2">
      <c r="B321" s="47"/>
      <c r="C321" s="47"/>
      <c r="D321" s="47"/>
      <c r="E321" s="47"/>
      <c r="F321" s="47"/>
      <c r="G321" s="47"/>
      <c r="H321" s="47"/>
      <c r="I321" s="47"/>
      <c r="J321" s="47"/>
      <c r="K321" s="47"/>
      <c r="N321" s="47"/>
      <c r="P321" s="47"/>
      <c r="Q321" s="47"/>
      <c r="R321" s="47"/>
      <c r="S321" s="47"/>
      <c r="U321" s="47"/>
      <c r="Y321" s="47"/>
      <c r="Z321" s="47"/>
      <c r="AA321" s="47"/>
    </row>
    <row r="322" spans="2:27" x14ac:dyDescent="0.2">
      <c r="B322" s="47"/>
      <c r="C322" s="47"/>
      <c r="D322" s="47"/>
      <c r="E322" s="47"/>
      <c r="F322" s="47"/>
      <c r="G322" s="47"/>
      <c r="H322" s="47"/>
      <c r="I322" s="47"/>
      <c r="J322" s="47"/>
      <c r="K322" s="47"/>
      <c r="N322" s="47"/>
      <c r="P322" s="47"/>
      <c r="Q322" s="47"/>
      <c r="R322" s="47"/>
      <c r="S322" s="47"/>
      <c r="U322" s="47"/>
      <c r="Y322" s="47"/>
      <c r="Z322" s="47"/>
      <c r="AA322" s="47"/>
    </row>
    <row r="323" spans="2:27" x14ac:dyDescent="0.2">
      <c r="B323" s="47"/>
      <c r="C323" s="47"/>
      <c r="D323" s="47"/>
      <c r="E323" s="47"/>
      <c r="F323" s="47"/>
      <c r="G323" s="47"/>
      <c r="H323" s="47"/>
      <c r="I323" s="47"/>
      <c r="J323" s="47"/>
      <c r="K323" s="47"/>
      <c r="N323" s="47"/>
      <c r="P323" s="47"/>
      <c r="Q323" s="47"/>
      <c r="R323" s="47"/>
      <c r="S323" s="47"/>
      <c r="U323" s="47"/>
      <c r="Y323" s="47"/>
      <c r="Z323" s="47"/>
      <c r="AA323" s="47"/>
    </row>
    <row r="324" spans="2:27" x14ac:dyDescent="0.2">
      <c r="B324" s="47"/>
      <c r="C324" s="47"/>
      <c r="D324" s="47"/>
      <c r="E324" s="47"/>
      <c r="F324" s="47"/>
      <c r="G324" s="47"/>
      <c r="H324" s="47"/>
      <c r="I324" s="47"/>
      <c r="J324" s="47"/>
      <c r="K324" s="47"/>
      <c r="N324" s="47"/>
      <c r="P324" s="47"/>
      <c r="Q324" s="47"/>
      <c r="R324" s="47"/>
      <c r="S324" s="47"/>
      <c r="U324" s="47"/>
      <c r="Y324" s="47"/>
      <c r="Z324" s="47"/>
      <c r="AA324" s="47"/>
    </row>
    <row r="325" spans="2:27" x14ac:dyDescent="0.2">
      <c r="B325" s="47"/>
      <c r="C325" s="47"/>
      <c r="D325" s="47"/>
      <c r="E325" s="47"/>
      <c r="F325" s="47"/>
      <c r="G325" s="47"/>
      <c r="H325" s="47"/>
      <c r="I325" s="47"/>
      <c r="J325" s="47"/>
      <c r="K325" s="47"/>
      <c r="N325" s="47"/>
      <c r="P325" s="47"/>
      <c r="Q325" s="47"/>
      <c r="R325" s="47"/>
      <c r="S325" s="47"/>
      <c r="U325" s="47"/>
      <c r="Y325" s="47"/>
      <c r="Z325" s="47"/>
      <c r="AA325" s="47"/>
    </row>
    <row r="326" spans="2:27" x14ac:dyDescent="0.2">
      <c r="B326" s="47"/>
      <c r="C326" s="47"/>
      <c r="D326" s="47"/>
      <c r="E326" s="47"/>
      <c r="F326" s="47"/>
      <c r="G326" s="47"/>
      <c r="H326" s="47"/>
      <c r="I326" s="47"/>
      <c r="J326" s="47"/>
      <c r="K326" s="47"/>
      <c r="N326" s="47"/>
      <c r="P326" s="47"/>
      <c r="Q326" s="47"/>
      <c r="R326" s="47"/>
      <c r="S326" s="47"/>
      <c r="U326" s="47"/>
      <c r="Y326" s="47"/>
      <c r="Z326" s="47"/>
      <c r="AA326" s="47"/>
    </row>
    <row r="327" spans="2:27" x14ac:dyDescent="0.2">
      <c r="B327" s="47"/>
      <c r="C327" s="47"/>
      <c r="D327" s="47"/>
      <c r="E327" s="47"/>
      <c r="F327" s="47"/>
      <c r="G327" s="47"/>
      <c r="H327" s="47"/>
      <c r="I327" s="47"/>
      <c r="J327" s="47"/>
      <c r="K327" s="47"/>
      <c r="N327" s="47"/>
      <c r="P327" s="47"/>
      <c r="Q327" s="47"/>
      <c r="R327" s="47"/>
      <c r="S327" s="47"/>
      <c r="U327" s="47"/>
      <c r="Y327" s="47"/>
      <c r="Z327" s="47"/>
      <c r="AA327" s="47"/>
    </row>
    <row r="328" spans="2:27" x14ac:dyDescent="0.2">
      <c r="B328" s="47"/>
      <c r="C328" s="47"/>
      <c r="D328" s="47"/>
      <c r="E328" s="47"/>
      <c r="F328" s="47"/>
      <c r="G328" s="47"/>
      <c r="H328" s="47"/>
      <c r="I328" s="47"/>
      <c r="J328" s="47"/>
      <c r="K328" s="47"/>
      <c r="N328" s="47"/>
      <c r="P328" s="47"/>
      <c r="Q328" s="47"/>
      <c r="R328" s="47"/>
      <c r="S328" s="47"/>
      <c r="U328" s="47"/>
      <c r="Y328" s="47"/>
      <c r="Z328" s="47"/>
      <c r="AA328" s="47"/>
    </row>
    <row r="329" spans="2:27" x14ac:dyDescent="0.2">
      <c r="B329" s="47"/>
      <c r="C329" s="47"/>
      <c r="D329" s="47"/>
      <c r="E329" s="47"/>
      <c r="F329" s="47"/>
      <c r="G329" s="47"/>
      <c r="H329" s="47"/>
      <c r="I329" s="47"/>
      <c r="J329" s="47"/>
      <c r="K329" s="47"/>
      <c r="N329" s="47"/>
      <c r="P329" s="47"/>
      <c r="Q329" s="47"/>
      <c r="R329" s="47"/>
      <c r="S329" s="47"/>
      <c r="U329" s="47"/>
      <c r="Y329" s="47"/>
      <c r="Z329" s="47"/>
      <c r="AA329" s="47"/>
    </row>
    <row r="330" spans="2:27" x14ac:dyDescent="0.2">
      <c r="B330" s="47"/>
      <c r="C330" s="47"/>
      <c r="D330" s="47"/>
      <c r="E330" s="47"/>
      <c r="F330" s="47"/>
      <c r="G330" s="47"/>
      <c r="H330" s="47"/>
      <c r="I330" s="47"/>
      <c r="J330" s="47"/>
      <c r="K330" s="47"/>
      <c r="N330" s="47"/>
      <c r="P330" s="47"/>
      <c r="Q330" s="47"/>
      <c r="R330" s="47"/>
      <c r="S330" s="47"/>
      <c r="U330" s="47"/>
      <c r="Y330" s="47"/>
      <c r="Z330" s="47"/>
      <c r="AA330" s="47"/>
    </row>
    <row r="331" spans="2:27" x14ac:dyDescent="0.2">
      <c r="B331" s="47"/>
      <c r="C331" s="47"/>
      <c r="D331" s="47"/>
      <c r="E331" s="47"/>
      <c r="F331" s="47"/>
      <c r="G331" s="47"/>
      <c r="H331" s="47"/>
      <c r="I331" s="47"/>
      <c r="J331" s="47"/>
      <c r="K331" s="47"/>
      <c r="N331" s="47"/>
      <c r="P331" s="47"/>
      <c r="Q331" s="47"/>
      <c r="R331" s="47"/>
      <c r="S331" s="47"/>
      <c r="U331" s="47"/>
      <c r="Y331" s="47"/>
      <c r="Z331" s="47"/>
      <c r="AA331" s="47"/>
    </row>
    <row r="332" spans="2:27" x14ac:dyDescent="0.2">
      <c r="B332" s="47"/>
      <c r="C332" s="47"/>
      <c r="D332" s="47"/>
      <c r="E332" s="47"/>
      <c r="F332" s="47"/>
      <c r="G332" s="47"/>
      <c r="H332" s="47"/>
      <c r="I332" s="47"/>
      <c r="J332" s="47"/>
      <c r="K332" s="47"/>
      <c r="N332" s="47"/>
      <c r="P332" s="47"/>
      <c r="Q332" s="47"/>
      <c r="R332" s="47"/>
      <c r="S332" s="47"/>
      <c r="U332" s="47"/>
      <c r="Y332" s="47"/>
      <c r="Z332" s="47"/>
      <c r="AA332" s="47"/>
    </row>
    <row r="333" spans="2:27" x14ac:dyDescent="0.2">
      <c r="B333" s="47"/>
      <c r="C333" s="47"/>
      <c r="D333" s="47"/>
      <c r="E333" s="47"/>
      <c r="F333" s="47"/>
      <c r="G333" s="47"/>
      <c r="H333" s="47"/>
      <c r="I333" s="47"/>
      <c r="J333" s="47"/>
      <c r="K333" s="47"/>
      <c r="N333" s="47"/>
      <c r="P333" s="47"/>
      <c r="Q333" s="47"/>
      <c r="R333" s="47"/>
      <c r="S333" s="47"/>
      <c r="U333" s="47"/>
      <c r="Y333" s="47"/>
      <c r="Z333" s="47"/>
      <c r="AA333" s="47"/>
    </row>
    <row r="334" spans="2:27" x14ac:dyDescent="0.2">
      <c r="B334" s="47"/>
      <c r="C334" s="47"/>
      <c r="D334" s="47"/>
      <c r="E334" s="47"/>
      <c r="F334" s="47"/>
      <c r="G334" s="47"/>
      <c r="H334" s="47"/>
      <c r="I334" s="47"/>
      <c r="J334" s="47"/>
      <c r="K334" s="47"/>
      <c r="N334" s="47"/>
      <c r="P334" s="47"/>
      <c r="Q334" s="47"/>
      <c r="R334" s="47"/>
      <c r="S334" s="47"/>
      <c r="U334" s="47"/>
      <c r="Y334" s="47"/>
      <c r="Z334" s="47"/>
      <c r="AA334" s="47"/>
    </row>
    <row r="335" spans="2:27" x14ac:dyDescent="0.2">
      <c r="B335" s="47"/>
      <c r="C335" s="47"/>
      <c r="D335" s="47"/>
      <c r="E335" s="47"/>
      <c r="F335" s="47"/>
      <c r="G335" s="47"/>
      <c r="H335" s="47"/>
      <c r="I335" s="47"/>
      <c r="J335" s="47"/>
      <c r="K335" s="47"/>
      <c r="N335" s="47"/>
      <c r="P335" s="47"/>
      <c r="Q335" s="47"/>
      <c r="R335" s="47"/>
      <c r="S335" s="47"/>
      <c r="U335" s="47"/>
      <c r="Y335" s="47"/>
      <c r="Z335" s="47"/>
      <c r="AA335" s="47"/>
    </row>
    <row r="336" spans="2:27" x14ac:dyDescent="0.2">
      <c r="B336" s="47"/>
      <c r="C336" s="47"/>
      <c r="D336" s="47"/>
      <c r="E336" s="47"/>
      <c r="F336" s="47"/>
      <c r="G336" s="47"/>
      <c r="H336" s="47"/>
      <c r="I336" s="47"/>
      <c r="J336" s="47"/>
      <c r="K336" s="47"/>
      <c r="N336" s="47"/>
      <c r="P336" s="47"/>
      <c r="Q336" s="47"/>
      <c r="R336" s="47"/>
      <c r="S336" s="47"/>
      <c r="U336" s="47"/>
      <c r="Y336" s="47"/>
      <c r="Z336" s="47"/>
      <c r="AA336" s="47"/>
    </row>
    <row r="337" spans="2:27" x14ac:dyDescent="0.2">
      <c r="B337" s="47"/>
      <c r="C337" s="47"/>
      <c r="D337" s="47"/>
      <c r="E337" s="47"/>
      <c r="F337" s="47"/>
      <c r="G337" s="47"/>
      <c r="H337" s="47"/>
      <c r="I337" s="47"/>
      <c r="J337" s="47"/>
      <c r="K337" s="47"/>
      <c r="N337" s="47"/>
      <c r="P337" s="47"/>
      <c r="Q337" s="47"/>
      <c r="R337" s="47"/>
      <c r="S337" s="47"/>
      <c r="U337" s="47"/>
      <c r="Y337" s="47"/>
      <c r="Z337" s="47"/>
      <c r="AA337" s="47"/>
    </row>
    <row r="338" spans="2:27" x14ac:dyDescent="0.2">
      <c r="B338" s="47"/>
      <c r="C338" s="47"/>
      <c r="D338" s="47"/>
      <c r="E338" s="47"/>
      <c r="F338" s="47"/>
      <c r="G338" s="47"/>
      <c r="H338" s="47"/>
      <c r="I338" s="47"/>
      <c r="J338" s="47"/>
      <c r="K338" s="47"/>
      <c r="N338" s="47"/>
      <c r="P338" s="47"/>
      <c r="Q338" s="47"/>
      <c r="R338" s="47"/>
      <c r="S338" s="47"/>
      <c r="U338" s="47"/>
      <c r="Y338" s="47"/>
      <c r="Z338" s="47"/>
      <c r="AA338" s="47"/>
    </row>
    <row r="339" spans="2:27" x14ac:dyDescent="0.2">
      <c r="B339" s="47"/>
      <c r="C339" s="47"/>
      <c r="D339" s="47"/>
      <c r="E339" s="47"/>
      <c r="F339" s="47"/>
      <c r="G339" s="47"/>
      <c r="H339" s="47"/>
      <c r="I339" s="47"/>
      <c r="J339" s="47"/>
      <c r="K339" s="47"/>
      <c r="N339" s="47"/>
      <c r="P339" s="47"/>
      <c r="Q339" s="47"/>
      <c r="R339" s="47"/>
      <c r="S339" s="47"/>
      <c r="U339" s="47"/>
      <c r="Y339" s="47"/>
      <c r="Z339" s="47"/>
      <c r="AA339" s="47"/>
    </row>
    <row r="340" spans="2:27" x14ac:dyDescent="0.2">
      <c r="B340" s="47"/>
      <c r="C340" s="47"/>
      <c r="D340" s="47"/>
      <c r="E340" s="47"/>
      <c r="F340" s="47"/>
      <c r="G340" s="47"/>
      <c r="H340" s="47"/>
      <c r="I340" s="47"/>
      <c r="J340" s="47"/>
      <c r="K340" s="47"/>
      <c r="N340" s="47"/>
      <c r="P340" s="47"/>
      <c r="Q340" s="47"/>
      <c r="R340" s="47"/>
      <c r="S340" s="47"/>
      <c r="U340" s="47"/>
      <c r="Y340" s="47"/>
      <c r="Z340" s="47"/>
      <c r="AA340" s="47"/>
    </row>
    <row r="341" spans="2:27" x14ac:dyDescent="0.2">
      <c r="B341" s="47"/>
      <c r="C341" s="47"/>
      <c r="D341" s="47"/>
      <c r="E341" s="47"/>
      <c r="F341" s="47"/>
      <c r="G341" s="47"/>
      <c r="H341" s="47"/>
      <c r="I341" s="47"/>
      <c r="J341" s="47"/>
      <c r="K341" s="47"/>
      <c r="N341" s="47"/>
      <c r="P341" s="47"/>
      <c r="Q341" s="47"/>
      <c r="R341" s="47"/>
      <c r="S341" s="47"/>
      <c r="U341" s="47"/>
      <c r="Y341" s="47"/>
      <c r="Z341" s="47"/>
      <c r="AA341" s="47"/>
    </row>
    <row r="342" spans="2:27" x14ac:dyDescent="0.2">
      <c r="B342" s="47"/>
      <c r="C342" s="47"/>
      <c r="D342" s="47"/>
      <c r="E342" s="47"/>
      <c r="F342" s="47"/>
      <c r="G342" s="47"/>
      <c r="H342" s="47"/>
      <c r="I342" s="47"/>
      <c r="J342" s="47"/>
      <c r="K342" s="47"/>
      <c r="N342" s="47"/>
      <c r="P342" s="47"/>
      <c r="Q342" s="47"/>
      <c r="R342" s="47"/>
      <c r="S342" s="47"/>
      <c r="U342" s="47"/>
      <c r="Y342" s="47"/>
      <c r="Z342" s="47"/>
      <c r="AA342" s="47"/>
    </row>
    <row r="343" spans="2:27" x14ac:dyDescent="0.2">
      <c r="B343" s="47"/>
      <c r="C343" s="47"/>
      <c r="D343" s="47"/>
      <c r="E343" s="47"/>
      <c r="F343" s="47"/>
      <c r="G343" s="47"/>
      <c r="H343" s="47"/>
      <c r="I343" s="47"/>
      <c r="J343" s="47"/>
      <c r="K343" s="47"/>
      <c r="N343" s="47"/>
      <c r="P343" s="47"/>
      <c r="Q343" s="47"/>
      <c r="R343" s="47"/>
      <c r="S343" s="47"/>
      <c r="U343" s="47"/>
      <c r="Y343" s="47"/>
      <c r="Z343" s="47"/>
      <c r="AA343" s="47"/>
    </row>
    <row r="344" spans="2:27" x14ac:dyDescent="0.2">
      <c r="B344" s="47"/>
      <c r="C344" s="47"/>
      <c r="D344" s="47"/>
      <c r="E344" s="47"/>
      <c r="F344" s="47"/>
      <c r="G344" s="47"/>
      <c r="H344" s="47"/>
      <c r="I344" s="47"/>
      <c r="J344" s="47"/>
      <c r="K344" s="47"/>
      <c r="N344" s="47"/>
      <c r="P344" s="47"/>
      <c r="Q344" s="47"/>
      <c r="R344" s="47"/>
      <c r="S344" s="47"/>
      <c r="U344" s="47"/>
      <c r="Y344" s="47"/>
      <c r="Z344" s="47"/>
      <c r="AA344" s="47"/>
    </row>
    <row r="345" spans="2:27" x14ac:dyDescent="0.2">
      <c r="B345" s="47"/>
      <c r="C345" s="47"/>
      <c r="D345" s="47"/>
      <c r="E345" s="47"/>
      <c r="F345" s="47"/>
      <c r="G345" s="47"/>
      <c r="H345" s="47"/>
      <c r="I345" s="47"/>
      <c r="J345" s="47"/>
      <c r="K345" s="47"/>
      <c r="N345" s="47"/>
      <c r="P345" s="47"/>
      <c r="Q345" s="47"/>
      <c r="R345" s="47"/>
      <c r="S345" s="47"/>
      <c r="U345" s="47"/>
      <c r="Y345" s="47"/>
      <c r="Z345" s="47"/>
      <c r="AA345" s="47"/>
    </row>
    <row r="346" spans="2:27" x14ac:dyDescent="0.2">
      <c r="B346" s="47"/>
      <c r="C346" s="47"/>
      <c r="D346" s="47"/>
      <c r="E346" s="47"/>
      <c r="F346" s="47"/>
      <c r="G346" s="47"/>
      <c r="H346" s="47"/>
      <c r="I346" s="47"/>
      <c r="J346" s="47"/>
      <c r="K346" s="47"/>
      <c r="N346" s="47"/>
      <c r="P346" s="47"/>
      <c r="Q346" s="47"/>
      <c r="R346" s="47"/>
      <c r="S346" s="47"/>
      <c r="U346" s="47"/>
      <c r="Y346" s="47"/>
      <c r="Z346" s="47"/>
      <c r="AA346" s="47"/>
    </row>
    <row r="347" spans="2:27" x14ac:dyDescent="0.2">
      <c r="B347" s="47"/>
      <c r="C347" s="47"/>
      <c r="D347" s="47"/>
      <c r="E347" s="47"/>
      <c r="F347" s="47"/>
      <c r="G347" s="47"/>
      <c r="H347" s="47"/>
      <c r="I347" s="47"/>
      <c r="J347" s="47"/>
      <c r="K347" s="47"/>
      <c r="N347" s="47"/>
      <c r="P347" s="47"/>
      <c r="Q347" s="47"/>
      <c r="R347" s="47"/>
      <c r="S347" s="47"/>
      <c r="U347" s="47"/>
      <c r="Y347" s="47"/>
      <c r="Z347" s="47"/>
      <c r="AA347" s="47"/>
    </row>
    <row r="348" spans="2:27" x14ac:dyDescent="0.2">
      <c r="B348" s="47"/>
      <c r="C348" s="47"/>
      <c r="D348" s="47"/>
      <c r="E348" s="47"/>
      <c r="F348" s="47"/>
      <c r="G348" s="47"/>
      <c r="H348" s="47"/>
      <c r="I348" s="47"/>
      <c r="J348" s="47"/>
      <c r="K348" s="47"/>
      <c r="N348" s="47"/>
      <c r="P348" s="47"/>
      <c r="Q348" s="47"/>
      <c r="R348" s="47"/>
      <c r="S348" s="47"/>
      <c r="U348" s="47"/>
      <c r="Y348" s="47"/>
      <c r="Z348" s="47"/>
      <c r="AA348" s="47"/>
    </row>
    <row r="349" spans="2:27" x14ac:dyDescent="0.2">
      <c r="B349" s="47"/>
      <c r="C349" s="47"/>
      <c r="D349" s="47"/>
      <c r="E349" s="47"/>
      <c r="F349" s="47"/>
      <c r="G349" s="47"/>
      <c r="H349" s="47"/>
      <c r="I349" s="47"/>
      <c r="J349" s="47"/>
      <c r="K349" s="47"/>
      <c r="N349" s="47"/>
      <c r="P349" s="47"/>
      <c r="Q349" s="47"/>
      <c r="R349" s="47"/>
      <c r="S349" s="47"/>
      <c r="U349" s="47"/>
      <c r="Y349" s="47"/>
      <c r="Z349" s="47"/>
      <c r="AA349" s="47"/>
    </row>
    <row r="350" spans="2:27" x14ac:dyDescent="0.2">
      <c r="B350" s="47"/>
      <c r="C350" s="47"/>
      <c r="D350" s="47"/>
      <c r="E350" s="47"/>
      <c r="F350" s="47"/>
      <c r="G350" s="47"/>
      <c r="H350" s="47"/>
      <c r="I350" s="47"/>
      <c r="J350" s="47"/>
      <c r="K350" s="47"/>
      <c r="N350" s="47"/>
      <c r="P350" s="47"/>
      <c r="Q350" s="47"/>
      <c r="R350" s="47"/>
      <c r="S350" s="47"/>
      <c r="U350" s="47"/>
      <c r="Y350" s="47"/>
      <c r="Z350" s="47"/>
      <c r="AA350" s="47"/>
    </row>
    <row r="351" spans="2:27" x14ac:dyDescent="0.2">
      <c r="B351" s="47"/>
      <c r="C351" s="47"/>
      <c r="D351" s="47"/>
      <c r="E351" s="47"/>
      <c r="F351" s="47"/>
      <c r="G351" s="47"/>
      <c r="H351" s="47"/>
      <c r="I351" s="47"/>
      <c r="J351" s="47"/>
      <c r="K351" s="47"/>
      <c r="N351" s="47"/>
      <c r="P351" s="47"/>
      <c r="Q351" s="47"/>
      <c r="R351" s="47"/>
      <c r="S351" s="47"/>
      <c r="U351" s="47"/>
      <c r="Y351" s="47"/>
      <c r="Z351" s="47"/>
      <c r="AA351" s="47"/>
    </row>
    <row r="352" spans="2:27" x14ac:dyDescent="0.2">
      <c r="B352" s="47"/>
      <c r="C352" s="47"/>
      <c r="D352" s="47"/>
      <c r="E352" s="47"/>
      <c r="F352" s="47"/>
      <c r="G352" s="47"/>
      <c r="H352" s="47"/>
      <c r="I352" s="47"/>
      <c r="J352" s="47"/>
      <c r="K352" s="47"/>
      <c r="N352" s="47"/>
      <c r="P352" s="47"/>
      <c r="Q352" s="47"/>
      <c r="R352" s="47"/>
      <c r="S352" s="47"/>
      <c r="U352" s="47"/>
      <c r="Y352" s="47"/>
      <c r="Z352" s="47"/>
      <c r="AA352" s="47"/>
    </row>
    <row r="353" spans="2:27" x14ac:dyDescent="0.2">
      <c r="B353" s="47"/>
      <c r="C353" s="47"/>
      <c r="D353" s="47"/>
      <c r="E353" s="47"/>
      <c r="F353" s="47"/>
      <c r="G353" s="47"/>
      <c r="H353" s="47"/>
      <c r="I353" s="47"/>
      <c r="J353" s="47"/>
      <c r="K353" s="47"/>
      <c r="N353" s="47"/>
      <c r="P353" s="47"/>
      <c r="Q353" s="47"/>
      <c r="R353" s="47"/>
      <c r="S353" s="47"/>
      <c r="U353" s="47"/>
      <c r="Y353" s="47"/>
      <c r="Z353" s="47"/>
      <c r="AA353" s="47"/>
    </row>
    <row r="354" spans="2:27" x14ac:dyDescent="0.2">
      <c r="B354" s="47"/>
      <c r="C354" s="47"/>
      <c r="D354" s="47"/>
      <c r="E354" s="47"/>
      <c r="F354" s="47"/>
      <c r="G354" s="47"/>
      <c r="H354" s="47"/>
      <c r="I354" s="47"/>
      <c r="J354" s="47"/>
      <c r="K354" s="47"/>
      <c r="N354" s="47"/>
      <c r="P354" s="47"/>
      <c r="Q354" s="47"/>
      <c r="R354" s="47"/>
      <c r="S354" s="47"/>
      <c r="U354" s="47"/>
      <c r="Y354" s="47"/>
      <c r="Z354" s="47"/>
      <c r="AA354" s="47"/>
    </row>
    <row r="355" spans="2:27" x14ac:dyDescent="0.2">
      <c r="B355" s="47"/>
      <c r="C355" s="47"/>
      <c r="D355" s="47"/>
      <c r="E355" s="47"/>
      <c r="F355" s="47"/>
      <c r="G355" s="47"/>
      <c r="H355" s="47"/>
      <c r="I355" s="47"/>
      <c r="J355" s="47"/>
      <c r="K355" s="47"/>
      <c r="N355" s="47"/>
      <c r="P355" s="47"/>
      <c r="Q355" s="47"/>
      <c r="R355" s="47"/>
      <c r="S355" s="47"/>
      <c r="U355" s="47"/>
      <c r="Y355" s="47"/>
      <c r="Z355" s="47"/>
      <c r="AA355" s="47"/>
    </row>
    <row r="356" spans="2:27" x14ac:dyDescent="0.2">
      <c r="B356" s="47"/>
      <c r="C356" s="47"/>
      <c r="D356" s="47"/>
      <c r="E356" s="47"/>
      <c r="F356" s="47"/>
      <c r="G356" s="47"/>
      <c r="H356" s="47"/>
      <c r="I356" s="47"/>
      <c r="J356" s="47"/>
      <c r="K356" s="47"/>
      <c r="N356" s="47"/>
      <c r="P356" s="47"/>
      <c r="Q356" s="47"/>
      <c r="R356" s="47"/>
      <c r="S356" s="47"/>
      <c r="U356" s="47"/>
      <c r="Y356" s="47"/>
      <c r="Z356" s="47"/>
      <c r="AA356" s="47"/>
    </row>
    <row r="357" spans="2:27" x14ac:dyDescent="0.2">
      <c r="B357" s="47"/>
      <c r="C357" s="47"/>
      <c r="D357" s="47"/>
      <c r="E357" s="47"/>
      <c r="F357" s="47"/>
      <c r="G357" s="47"/>
      <c r="H357" s="47"/>
      <c r="I357" s="47"/>
      <c r="J357" s="47"/>
      <c r="K357" s="47"/>
      <c r="N357" s="47"/>
      <c r="P357" s="47"/>
      <c r="Q357" s="47"/>
      <c r="R357" s="47"/>
      <c r="S357" s="47"/>
      <c r="U357" s="47"/>
      <c r="Y357" s="47"/>
      <c r="Z357" s="47"/>
      <c r="AA357" s="47"/>
    </row>
    <row r="358" spans="2:27" x14ac:dyDescent="0.2">
      <c r="B358" s="47"/>
      <c r="C358" s="47"/>
      <c r="D358" s="47"/>
      <c r="E358" s="47"/>
      <c r="F358" s="47"/>
      <c r="G358" s="47"/>
      <c r="H358" s="47"/>
      <c r="I358" s="47"/>
      <c r="J358" s="47"/>
      <c r="K358" s="47"/>
      <c r="N358" s="47"/>
      <c r="P358" s="47"/>
      <c r="Q358" s="47"/>
      <c r="R358" s="47"/>
      <c r="S358" s="47"/>
      <c r="U358" s="47"/>
      <c r="Y358" s="47"/>
      <c r="Z358" s="47"/>
      <c r="AA358" s="47"/>
    </row>
    <row r="359" spans="2:27" x14ac:dyDescent="0.2">
      <c r="B359" s="47"/>
      <c r="C359" s="47"/>
      <c r="D359" s="47"/>
      <c r="E359" s="47"/>
      <c r="F359" s="47"/>
      <c r="G359" s="47"/>
      <c r="H359" s="47"/>
      <c r="I359" s="47"/>
      <c r="J359" s="47"/>
      <c r="K359" s="47"/>
      <c r="N359" s="47"/>
      <c r="P359" s="47"/>
      <c r="Q359" s="47"/>
      <c r="R359" s="47"/>
      <c r="S359" s="47"/>
      <c r="U359" s="47"/>
      <c r="Y359" s="47"/>
      <c r="Z359" s="47"/>
      <c r="AA359" s="47"/>
    </row>
    <row r="360" spans="2:27" x14ac:dyDescent="0.2">
      <c r="B360" s="47"/>
      <c r="C360" s="47"/>
      <c r="D360" s="47"/>
      <c r="E360" s="47"/>
      <c r="F360" s="47"/>
      <c r="G360" s="47"/>
      <c r="H360" s="47"/>
      <c r="I360" s="47"/>
      <c r="J360" s="47"/>
      <c r="K360" s="47"/>
      <c r="N360" s="47"/>
      <c r="P360" s="47"/>
      <c r="Q360" s="47"/>
      <c r="R360" s="47"/>
      <c r="S360" s="47"/>
      <c r="U360" s="47"/>
      <c r="Y360" s="47"/>
      <c r="Z360" s="47"/>
      <c r="AA360" s="47"/>
    </row>
    <row r="361" spans="2:27" x14ac:dyDescent="0.2">
      <c r="B361" s="47"/>
      <c r="C361" s="47"/>
      <c r="D361" s="47"/>
      <c r="E361" s="47"/>
      <c r="F361" s="47"/>
      <c r="G361" s="47"/>
      <c r="H361" s="47"/>
      <c r="I361" s="47"/>
      <c r="J361" s="47"/>
      <c r="K361" s="47"/>
      <c r="N361" s="47"/>
      <c r="P361" s="47"/>
      <c r="Q361" s="47"/>
      <c r="R361" s="47"/>
      <c r="S361" s="47"/>
      <c r="U361" s="47"/>
      <c r="Y361" s="47"/>
      <c r="Z361" s="47"/>
      <c r="AA361" s="47"/>
    </row>
    <row r="362" spans="2:27" x14ac:dyDescent="0.2">
      <c r="B362" s="47"/>
      <c r="C362" s="47"/>
      <c r="D362" s="47"/>
      <c r="E362" s="47"/>
      <c r="F362" s="47"/>
      <c r="G362" s="47"/>
      <c r="H362" s="47"/>
      <c r="I362" s="47"/>
      <c r="J362" s="47"/>
      <c r="K362" s="47"/>
      <c r="N362" s="47"/>
      <c r="P362" s="47"/>
      <c r="Q362" s="47"/>
      <c r="R362" s="47"/>
      <c r="S362" s="47"/>
      <c r="U362" s="47"/>
      <c r="Y362" s="47"/>
      <c r="Z362" s="47"/>
      <c r="AA362" s="47"/>
    </row>
    <row r="363" spans="2:27" x14ac:dyDescent="0.2">
      <c r="B363" s="47"/>
      <c r="C363" s="47"/>
      <c r="D363" s="47"/>
      <c r="E363" s="47"/>
      <c r="F363" s="47"/>
      <c r="G363" s="47"/>
      <c r="H363" s="47"/>
      <c r="I363" s="47"/>
      <c r="J363" s="47"/>
      <c r="K363" s="47"/>
      <c r="N363" s="47"/>
      <c r="P363" s="47"/>
      <c r="Q363" s="47"/>
      <c r="R363" s="47"/>
      <c r="S363" s="47"/>
      <c r="U363" s="47"/>
      <c r="Y363" s="47"/>
      <c r="Z363" s="47"/>
      <c r="AA363" s="47"/>
    </row>
    <row r="364" spans="2:27" x14ac:dyDescent="0.2">
      <c r="B364" s="47"/>
      <c r="C364" s="47"/>
      <c r="D364" s="47"/>
      <c r="E364" s="47"/>
      <c r="F364" s="47"/>
      <c r="G364" s="47"/>
      <c r="H364" s="47"/>
      <c r="I364" s="47"/>
      <c r="J364" s="47"/>
      <c r="K364" s="47"/>
      <c r="N364" s="47"/>
      <c r="P364" s="47"/>
      <c r="Q364" s="47"/>
      <c r="R364" s="47"/>
      <c r="S364" s="47"/>
      <c r="U364" s="47"/>
      <c r="Y364" s="47"/>
      <c r="Z364" s="47"/>
      <c r="AA364" s="47"/>
    </row>
    <row r="365" spans="2:27" x14ac:dyDescent="0.2">
      <c r="B365" s="47"/>
      <c r="C365" s="47"/>
      <c r="D365" s="47"/>
      <c r="E365" s="47"/>
      <c r="F365" s="47"/>
      <c r="G365" s="47"/>
      <c r="H365" s="47"/>
      <c r="I365" s="47"/>
      <c r="J365" s="47"/>
      <c r="K365" s="47"/>
      <c r="N365" s="47"/>
      <c r="P365" s="47"/>
      <c r="Q365" s="47"/>
      <c r="R365" s="47"/>
      <c r="S365" s="47"/>
      <c r="U365" s="47"/>
      <c r="Y365" s="47"/>
      <c r="Z365" s="47"/>
      <c r="AA365" s="47"/>
    </row>
    <row r="366" spans="2:27" x14ac:dyDescent="0.2">
      <c r="B366" s="47"/>
      <c r="C366" s="47"/>
      <c r="D366" s="47"/>
      <c r="E366" s="47"/>
      <c r="F366" s="47"/>
      <c r="G366" s="47"/>
      <c r="H366" s="47"/>
      <c r="I366" s="47"/>
      <c r="J366" s="47"/>
      <c r="K366" s="47"/>
      <c r="N366" s="47"/>
      <c r="P366" s="47"/>
      <c r="Q366" s="47"/>
      <c r="R366" s="47"/>
      <c r="S366" s="47"/>
      <c r="U366" s="47"/>
      <c r="Y366" s="47"/>
      <c r="Z366" s="47"/>
      <c r="AA366" s="47"/>
    </row>
    <row r="367" spans="2:27" x14ac:dyDescent="0.2">
      <c r="B367" s="47"/>
      <c r="C367" s="47"/>
      <c r="D367" s="47"/>
      <c r="E367" s="47"/>
      <c r="F367" s="47"/>
      <c r="G367" s="47"/>
      <c r="H367" s="47"/>
      <c r="I367" s="47"/>
      <c r="J367" s="47"/>
      <c r="K367" s="47"/>
      <c r="N367" s="47"/>
      <c r="P367" s="47"/>
      <c r="Q367" s="47"/>
      <c r="R367" s="47"/>
      <c r="S367" s="47"/>
      <c r="U367" s="47"/>
      <c r="Y367" s="47"/>
      <c r="Z367" s="47"/>
      <c r="AA367" s="47"/>
    </row>
    <row r="368" spans="2:27" x14ac:dyDescent="0.2">
      <c r="B368" s="47"/>
      <c r="C368" s="47"/>
      <c r="D368" s="47"/>
      <c r="E368" s="47"/>
      <c r="F368" s="47"/>
      <c r="G368" s="47"/>
      <c r="H368" s="47"/>
      <c r="I368" s="47"/>
      <c r="J368" s="47"/>
      <c r="K368" s="47"/>
      <c r="N368" s="47"/>
      <c r="P368" s="47"/>
      <c r="Q368" s="47"/>
      <c r="R368" s="47"/>
      <c r="S368" s="47"/>
      <c r="U368" s="47"/>
      <c r="Y368" s="47"/>
      <c r="Z368" s="47"/>
      <c r="AA368" s="47"/>
    </row>
    <row r="369" spans="2:27" x14ac:dyDescent="0.2">
      <c r="B369" s="47"/>
      <c r="C369" s="47"/>
      <c r="D369" s="47"/>
      <c r="E369" s="47"/>
      <c r="F369" s="47"/>
      <c r="G369" s="47"/>
      <c r="H369" s="47"/>
      <c r="I369" s="47"/>
      <c r="J369" s="47"/>
      <c r="K369" s="47"/>
      <c r="N369" s="47"/>
      <c r="P369" s="47"/>
      <c r="Q369" s="47"/>
      <c r="R369" s="47"/>
      <c r="S369" s="47"/>
      <c r="U369" s="47"/>
      <c r="Y369" s="47"/>
      <c r="Z369" s="47"/>
      <c r="AA369" s="47"/>
    </row>
    <row r="370" spans="2:27" x14ac:dyDescent="0.2">
      <c r="B370" s="47"/>
      <c r="C370" s="47"/>
      <c r="D370" s="47"/>
      <c r="E370" s="47"/>
      <c r="F370" s="47"/>
      <c r="G370" s="47"/>
      <c r="H370" s="47"/>
      <c r="I370" s="47"/>
      <c r="J370" s="47"/>
      <c r="K370" s="47"/>
      <c r="N370" s="47"/>
      <c r="P370" s="47"/>
      <c r="Q370" s="47"/>
      <c r="R370" s="47"/>
      <c r="S370" s="47"/>
      <c r="U370" s="47"/>
      <c r="Y370" s="47"/>
      <c r="Z370" s="47"/>
      <c r="AA370" s="47"/>
    </row>
    <row r="371" spans="2:27" x14ac:dyDescent="0.2">
      <c r="B371" s="47"/>
      <c r="C371" s="47"/>
      <c r="D371" s="47"/>
      <c r="E371" s="47"/>
      <c r="F371" s="47"/>
      <c r="G371" s="47"/>
      <c r="H371" s="47"/>
      <c r="I371" s="47"/>
      <c r="J371" s="47"/>
      <c r="K371" s="47"/>
      <c r="N371" s="47"/>
      <c r="P371" s="47"/>
      <c r="Q371" s="47"/>
      <c r="R371" s="47"/>
      <c r="S371" s="47"/>
      <c r="U371" s="47"/>
      <c r="Y371" s="47"/>
      <c r="Z371" s="47"/>
      <c r="AA371" s="47"/>
    </row>
    <row r="372" spans="2:27" x14ac:dyDescent="0.2">
      <c r="B372" s="47"/>
      <c r="C372" s="47"/>
      <c r="D372" s="47"/>
      <c r="E372" s="47"/>
      <c r="F372" s="47"/>
      <c r="G372" s="47"/>
      <c r="H372" s="47"/>
      <c r="I372" s="47"/>
      <c r="J372" s="47"/>
      <c r="K372" s="47"/>
      <c r="N372" s="47"/>
      <c r="P372" s="47"/>
      <c r="Q372" s="47"/>
      <c r="R372" s="47"/>
      <c r="S372" s="47"/>
      <c r="U372" s="47"/>
      <c r="Y372" s="47"/>
      <c r="Z372" s="47"/>
      <c r="AA372" s="47"/>
    </row>
    <row r="373" spans="2:27" x14ac:dyDescent="0.2">
      <c r="B373" s="47"/>
      <c r="C373" s="47"/>
      <c r="D373" s="47"/>
      <c r="E373" s="47"/>
      <c r="F373" s="47"/>
      <c r="G373" s="47"/>
      <c r="H373" s="47"/>
      <c r="I373" s="47"/>
      <c r="J373" s="47"/>
      <c r="K373" s="47"/>
      <c r="N373" s="47"/>
      <c r="P373" s="47"/>
      <c r="Q373" s="47"/>
      <c r="R373" s="47"/>
      <c r="S373" s="47"/>
      <c r="U373" s="47"/>
      <c r="Y373" s="47"/>
      <c r="Z373" s="47"/>
      <c r="AA373" s="47"/>
    </row>
    <row r="374" spans="2:27" x14ac:dyDescent="0.2">
      <c r="B374" s="47"/>
      <c r="C374" s="47"/>
      <c r="D374" s="47"/>
      <c r="E374" s="47"/>
      <c r="F374" s="47"/>
      <c r="G374" s="47"/>
      <c r="H374" s="47"/>
      <c r="I374" s="47"/>
      <c r="J374" s="47"/>
      <c r="K374" s="47"/>
      <c r="N374" s="47"/>
      <c r="P374" s="47"/>
      <c r="Q374" s="47"/>
      <c r="R374" s="47"/>
      <c r="S374" s="47"/>
      <c r="U374" s="47"/>
      <c r="Y374" s="47"/>
      <c r="Z374" s="47"/>
      <c r="AA374" s="47"/>
    </row>
    <row r="375" spans="2:27" x14ac:dyDescent="0.2">
      <c r="B375" s="47"/>
      <c r="C375" s="47"/>
      <c r="D375" s="47"/>
      <c r="E375" s="47"/>
      <c r="F375" s="47"/>
      <c r="G375" s="47"/>
      <c r="H375" s="47"/>
      <c r="I375" s="47"/>
      <c r="J375" s="47"/>
      <c r="K375" s="47"/>
      <c r="N375" s="47"/>
      <c r="P375" s="47"/>
      <c r="Q375" s="47"/>
      <c r="R375" s="47"/>
      <c r="S375" s="47"/>
      <c r="U375" s="47"/>
      <c r="Y375" s="47"/>
      <c r="Z375" s="47"/>
      <c r="AA375" s="47"/>
    </row>
    <row r="376" spans="2:27" x14ac:dyDescent="0.2">
      <c r="B376" s="47"/>
      <c r="C376" s="47"/>
      <c r="D376" s="47"/>
      <c r="E376" s="47"/>
      <c r="F376" s="47"/>
      <c r="G376" s="47"/>
      <c r="H376" s="47"/>
      <c r="I376" s="47"/>
      <c r="J376" s="47"/>
      <c r="K376" s="47"/>
      <c r="N376" s="47"/>
      <c r="P376" s="47"/>
      <c r="Q376" s="47"/>
      <c r="R376" s="47"/>
      <c r="S376" s="47"/>
      <c r="U376" s="47"/>
      <c r="Y376" s="47"/>
      <c r="Z376" s="47"/>
      <c r="AA376" s="47"/>
    </row>
    <row r="377" spans="2:27" x14ac:dyDescent="0.2">
      <c r="B377" s="47"/>
      <c r="C377" s="47"/>
      <c r="D377" s="47"/>
      <c r="E377" s="47"/>
      <c r="F377" s="47"/>
      <c r="G377" s="47"/>
      <c r="H377" s="47"/>
      <c r="I377" s="47"/>
      <c r="J377" s="47"/>
      <c r="K377" s="47"/>
      <c r="N377" s="47"/>
      <c r="P377" s="47"/>
      <c r="Q377" s="47"/>
      <c r="R377" s="47"/>
      <c r="S377" s="47"/>
      <c r="U377" s="47"/>
      <c r="Y377" s="47"/>
      <c r="Z377" s="47"/>
      <c r="AA377" s="47"/>
    </row>
    <row r="378" spans="2:27" x14ac:dyDescent="0.2">
      <c r="B378" s="47"/>
      <c r="C378" s="47"/>
      <c r="D378" s="47"/>
      <c r="E378" s="47"/>
      <c r="F378" s="47"/>
      <c r="G378" s="47"/>
      <c r="H378" s="47"/>
      <c r="I378" s="47"/>
      <c r="J378" s="47"/>
      <c r="K378" s="47"/>
      <c r="N378" s="47"/>
      <c r="P378" s="47"/>
      <c r="Q378" s="47"/>
      <c r="R378" s="47"/>
      <c r="S378" s="47"/>
      <c r="U378" s="47"/>
      <c r="Y378" s="47"/>
      <c r="Z378" s="47"/>
      <c r="AA378" s="47"/>
    </row>
    <row r="379" spans="2:27" x14ac:dyDescent="0.2">
      <c r="B379" s="47"/>
      <c r="C379" s="47"/>
      <c r="D379" s="47"/>
      <c r="E379" s="47"/>
      <c r="F379" s="47"/>
      <c r="G379" s="47"/>
      <c r="H379" s="47"/>
      <c r="I379" s="47"/>
      <c r="J379" s="47"/>
      <c r="K379" s="47"/>
      <c r="N379" s="47"/>
      <c r="P379" s="47"/>
      <c r="Q379" s="47"/>
      <c r="R379" s="47"/>
      <c r="S379" s="47"/>
      <c r="U379" s="47"/>
      <c r="Y379" s="47"/>
      <c r="Z379" s="47"/>
      <c r="AA379" s="47"/>
    </row>
    <row r="380" spans="2:27" x14ac:dyDescent="0.2">
      <c r="B380" s="47"/>
      <c r="C380" s="47"/>
      <c r="D380" s="47"/>
      <c r="E380" s="47"/>
      <c r="F380" s="47"/>
      <c r="G380" s="47"/>
      <c r="H380" s="47"/>
      <c r="I380" s="47"/>
      <c r="J380" s="47"/>
      <c r="K380" s="47"/>
      <c r="N380" s="47"/>
      <c r="P380" s="47"/>
      <c r="Q380" s="47"/>
      <c r="R380" s="47"/>
      <c r="S380" s="47"/>
      <c r="U380" s="47"/>
      <c r="Y380" s="47"/>
      <c r="Z380" s="47"/>
      <c r="AA380" s="47"/>
    </row>
    <row r="381" spans="2:27" x14ac:dyDescent="0.2">
      <c r="B381" s="47"/>
      <c r="C381" s="47"/>
      <c r="D381" s="47"/>
      <c r="E381" s="47"/>
      <c r="F381" s="47"/>
      <c r="G381" s="47"/>
      <c r="H381" s="47"/>
      <c r="I381" s="47"/>
      <c r="J381" s="47"/>
      <c r="K381" s="47"/>
      <c r="N381" s="47"/>
      <c r="P381" s="47"/>
      <c r="Q381" s="47"/>
      <c r="R381" s="47"/>
      <c r="S381" s="47"/>
      <c r="U381" s="47"/>
      <c r="Y381" s="47"/>
      <c r="Z381" s="47"/>
      <c r="AA381" s="47"/>
    </row>
    <row r="382" spans="2:27" x14ac:dyDescent="0.2">
      <c r="B382" s="47"/>
      <c r="C382" s="47"/>
      <c r="D382" s="47"/>
      <c r="E382" s="47"/>
      <c r="F382" s="47"/>
      <c r="G382" s="47"/>
      <c r="H382" s="47"/>
      <c r="I382" s="47"/>
      <c r="J382" s="47"/>
      <c r="K382" s="47"/>
      <c r="N382" s="47"/>
      <c r="P382" s="47"/>
      <c r="Q382" s="47"/>
      <c r="R382" s="47"/>
      <c r="S382" s="47"/>
      <c r="U382" s="47"/>
      <c r="Y382" s="47"/>
      <c r="Z382" s="47"/>
      <c r="AA382" s="47"/>
    </row>
    <row r="383" spans="2:27" x14ac:dyDescent="0.2">
      <c r="B383" s="47"/>
      <c r="C383" s="47"/>
      <c r="D383" s="47"/>
      <c r="E383" s="47"/>
      <c r="F383" s="47"/>
      <c r="G383" s="47"/>
      <c r="H383" s="47"/>
      <c r="I383" s="47"/>
      <c r="J383" s="47"/>
      <c r="K383" s="47"/>
      <c r="N383" s="47"/>
      <c r="P383" s="47"/>
      <c r="Q383" s="47"/>
      <c r="R383" s="47"/>
      <c r="S383" s="47"/>
      <c r="U383" s="47"/>
      <c r="Y383" s="47"/>
      <c r="Z383" s="47"/>
      <c r="AA383" s="47"/>
    </row>
    <row r="384" spans="2:27" x14ac:dyDescent="0.2">
      <c r="B384" s="47"/>
      <c r="C384" s="47"/>
      <c r="D384" s="47"/>
      <c r="E384" s="47"/>
      <c r="F384" s="47"/>
      <c r="G384" s="47"/>
      <c r="H384" s="47"/>
      <c r="I384" s="47"/>
      <c r="J384" s="47"/>
      <c r="K384" s="47"/>
      <c r="N384" s="47"/>
      <c r="P384" s="47"/>
      <c r="Q384" s="47"/>
      <c r="R384" s="47"/>
      <c r="S384" s="47"/>
      <c r="U384" s="47"/>
      <c r="Y384" s="47"/>
      <c r="Z384" s="47"/>
      <c r="AA384" s="47"/>
    </row>
    <row r="385" spans="2:27" x14ac:dyDescent="0.2">
      <c r="B385" s="47"/>
      <c r="C385" s="47"/>
      <c r="D385" s="47"/>
      <c r="E385" s="47"/>
      <c r="F385" s="47"/>
      <c r="G385" s="47"/>
      <c r="H385" s="47"/>
      <c r="I385" s="47"/>
      <c r="J385" s="47"/>
      <c r="K385" s="47"/>
      <c r="N385" s="47"/>
      <c r="P385" s="47"/>
      <c r="Q385" s="47"/>
      <c r="R385" s="47"/>
      <c r="S385" s="47"/>
      <c r="U385" s="47"/>
      <c r="Y385" s="47"/>
      <c r="Z385" s="47"/>
      <c r="AA385" s="47"/>
    </row>
    <row r="386" spans="2:27" x14ac:dyDescent="0.2">
      <c r="B386" s="47"/>
      <c r="C386" s="47"/>
      <c r="D386" s="47"/>
      <c r="E386" s="47"/>
      <c r="F386" s="47"/>
      <c r="G386" s="47"/>
      <c r="H386" s="47"/>
      <c r="I386" s="47"/>
      <c r="J386" s="47"/>
      <c r="K386" s="47"/>
      <c r="N386" s="47"/>
      <c r="P386" s="47"/>
      <c r="Q386" s="47"/>
      <c r="R386" s="47"/>
      <c r="S386" s="47"/>
      <c r="U386" s="47"/>
      <c r="Y386" s="47"/>
      <c r="Z386" s="47"/>
      <c r="AA386" s="47"/>
    </row>
    <row r="387" spans="2:27" x14ac:dyDescent="0.2">
      <c r="B387" s="47"/>
      <c r="C387" s="47"/>
      <c r="D387" s="47"/>
      <c r="E387" s="47"/>
      <c r="F387" s="47"/>
      <c r="G387" s="47"/>
      <c r="H387" s="47"/>
      <c r="I387" s="47"/>
      <c r="J387" s="47"/>
      <c r="K387" s="47"/>
      <c r="N387" s="47"/>
      <c r="P387" s="47"/>
      <c r="Q387" s="47"/>
      <c r="R387" s="47"/>
      <c r="S387" s="47"/>
      <c r="U387" s="47"/>
      <c r="Y387" s="47"/>
      <c r="Z387" s="47"/>
      <c r="AA387" s="47"/>
    </row>
    <row r="388" spans="2:27" x14ac:dyDescent="0.2">
      <c r="B388" s="47"/>
      <c r="C388" s="47"/>
      <c r="D388" s="47"/>
      <c r="E388" s="47"/>
      <c r="F388" s="47"/>
      <c r="G388" s="47"/>
      <c r="H388" s="47"/>
      <c r="I388" s="47"/>
      <c r="J388" s="47"/>
      <c r="K388" s="47"/>
      <c r="N388" s="47"/>
      <c r="P388" s="47"/>
      <c r="Q388" s="47"/>
      <c r="R388" s="47"/>
      <c r="S388" s="47"/>
      <c r="U388" s="47"/>
      <c r="Y388" s="47"/>
      <c r="Z388" s="47"/>
      <c r="AA388" s="47"/>
    </row>
    <row r="389" spans="2:27" x14ac:dyDescent="0.2">
      <c r="B389" s="47"/>
      <c r="C389" s="47"/>
      <c r="D389" s="47"/>
      <c r="E389" s="47"/>
      <c r="F389" s="47"/>
      <c r="G389" s="47"/>
      <c r="H389" s="47"/>
      <c r="I389" s="47"/>
      <c r="J389" s="47"/>
      <c r="K389" s="47"/>
      <c r="N389" s="47"/>
      <c r="P389" s="47"/>
      <c r="Q389" s="47"/>
      <c r="R389" s="47"/>
      <c r="S389" s="47"/>
      <c r="U389" s="47"/>
      <c r="Y389" s="47"/>
      <c r="Z389" s="47"/>
      <c r="AA389" s="47"/>
    </row>
    <row r="390" spans="2:27" x14ac:dyDescent="0.2">
      <c r="B390" s="47"/>
      <c r="C390" s="47"/>
      <c r="D390" s="47"/>
      <c r="E390" s="47"/>
      <c r="F390" s="47"/>
      <c r="G390" s="47"/>
      <c r="H390" s="47"/>
      <c r="I390" s="47"/>
      <c r="J390" s="47"/>
      <c r="K390" s="47"/>
      <c r="N390" s="47"/>
      <c r="P390" s="47"/>
      <c r="Q390" s="47"/>
      <c r="R390" s="47"/>
      <c r="S390" s="47"/>
      <c r="U390" s="47"/>
      <c r="Y390" s="47"/>
      <c r="Z390" s="47"/>
      <c r="AA390" s="47"/>
    </row>
    <row r="391" spans="2:27" x14ac:dyDescent="0.2">
      <c r="B391" s="47"/>
      <c r="C391" s="47"/>
      <c r="D391" s="47"/>
      <c r="E391" s="47"/>
      <c r="F391" s="47"/>
      <c r="G391" s="47"/>
      <c r="H391" s="47"/>
      <c r="I391" s="47"/>
      <c r="J391" s="47"/>
      <c r="K391" s="47"/>
      <c r="N391" s="47"/>
      <c r="P391" s="47"/>
      <c r="Q391" s="47"/>
      <c r="R391" s="47"/>
      <c r="S391" s="47"/>
      <c r="U391" s="47"/>
      <c r="Y391" s="47"/>
      <c r="Z391" s="47"/>
      <c r="AA391" s="47"/>
    </row>
    <row r="392" spans="2:27" x14ac:dyDescent="0.2">
      <c r="B392" s="47"/>
      <c r="C392" s="47"/>
      <c r="D392" s="47"/>
      <c r="E392" s="47"/>
      <c r="F392" s="47"/>
      <c r="G392" s="47"/>
      <c r="H392" s="47"/>
      <c r="I392" s="47"/>
      <c r="J392" s="47"/>
      <c r="K392" s="47"/>
      <c r="N392" s="47"/>
      <c r="P392" s="47"/>
      <c r="Q392" s="47"/>
      <c r="R392" s="47"/>
      <c r="S392" s="47"/>
      <c r="U392" s="47"/>
      <c r="Y392" s="47"/>
      <c r="Z392" s="47"/>
      <c r="AA392" s="47"/>
    </row>
    <row r="393" spans="2:27" x14ac:dyDescent="0.2">
      <c r="B393" s="47"/>
      <c r="C393" s="47"/>
      <c r="D393" s="47"/>
      <c r="E393" s="47"/>
      <c r="F393" s="47"/>
      <c r="G393" s="47"/>
      <c r="H393" s="47"/>
      <c r="I393" s="47"/>
      <c r="J393" s="47"/>
      <c r="K393" s="47"/>
      <c r="N393" s="47"/>
      <c r="P393" s="47"/>
      <c r="Q393" s="47"/>
      <c r="R393" s="47"/>
      <c r="S393" s="47"/>
      <c r="U393" s="47"/>
      <c r="Y393" s="47"/>
      <c r="Z393" s="47"/>
      <c r="AA393" s="47"/>
    </row>
    <row r="394" spans="2:27" x14ac:dyDescent="0.2">
      <c r="B394" s="47"/>
      <c r="C394" s="47"/>
      <c r="D394" s="47"/>
      <c r="E394" s="47"/>
      <c r="F394" s="47"/>
      <c r="G394" s="47"/>
      <c r="H394" s="47"/>
      <c r="I394" s="47"/>
      <c r="J394" s="47"/>
      <c r="K394" s="47"/>
      <c r="N394" s="47"/>
      <c r="P394" s="47"/>
      <c r="Q394" s="47"/>
      <c r="R394" s="47"/>
      <c r="S394" s="47"/>
      <c r="U394" s="47"/>
      <c r="Y394" s="47"/>
      <c r="Z394" s="47"/>
      <c r="AA394" s="47"/>
    </row>
    <row r="395" spans="2:27" x14ac:dyDescent="0.2">
      <c r="B395" s="47"/>
      <c r="C395" s="47"/>
      <c r="D395" s="47"/>
      <c r="E395" s="47"/>
      <c r="F395" s="47"/>
      <c r="G395" s="47"/>
      <c r="H395" s="47"/>
      <c r="I395" s="47"/>
      <c r="J395" s="47"/>
      <c r="K395" s="47"/>
      <c r="N395" s="47"/>
      <c r="P395" s="47"/>
      <c r="Q395" s="47"/>
      <c r="R395" s="47"/>
      <c r="S395" s="47"/>
      <c r="U395" s="47"/>
      <c r="Y395" s="47"/>
      <c r="Z395" s="47"/>
      <c r="AA395" s="47"/>
    </row>
    <row r="396" spans="2:27" x14ac:dyDescent="0.2">
      <c r="B396" s="47"/>
      <c r="C396" s="47"/>
      <c r="D396" s="47"/>
      <c r="E396" s="47"/>
      <c r="F396" s="47"/>
      <c r="G396" s="47"/>
      <c r="H396" s="47"/>
      <c r="I396" s="47"/>
      <c r="J396" s="47"/>
      <c r="K396" s="47"/>
      <c r="N396" s="47"/>
      <c r="P396" s="47"/>
      <c r="Q396" s="47"/>
      <c r="R396" s="47"/>
      <c r="S396" s="47"/>
      <c r="U396" s="47"/>
      <c r="Y396" s="47"/>
      <c r="Z396" s="47"/>
      <c r="AA396" s="47"/>
    </row>
    <row r="397" spans="2:27" x14ac:dyDescent="0.2">
      <c r="B397" s="47"/>
      <c r="C397" s="47"/>
      <c r="D397" s="47"/>
      <c r="E397" s="47"/>
      <c r="F397" s="47"/>
      <c r="G397" s="47"/>
      <c r="H397" s="47"/>
      <c r="I397" s="47"/>
      <c r="J397" s="47"/>
      <c r="K397" s="47"/>
      <c r="N397" s="47"/>
      <c r="P397" s="47"/>
      <c r="Q397" s="47"/>
      <c r="R397" s="47"/>
      <c r="S397" s="47"/>
      <c r="U397" s="47"/>
      <c r="Y397" s="47"/>
      <c r="Z397" s="47"/>
      <c r="AA397" s="47"/>
    </row>
    <row r="398" spans="2:27" x14ac:dyDescent="0.2">
      <c r="B398" s="47"/>
      <c r="C398" s="47"/>
      <c r="D398" s="47"/>
      <c r="E398" s="47"/>
      <c r="F398" s="47"/>
      <c r="G398" s="47"/>
      <c r="H398" s="47"/>
      <c r="I398" s="47"/>
      <c r="J398" s="47"/>
      <c r="K398" s="47"/>
      <c r="N398" s="47"/>
      <c r="P398" s="47"/>
      <c r="Q398" s="47"/>
      <c r="R398" s="47"/>
      <c r="S398" s="47"/>
      <c r="U398" s="47"/>
      <c r="Y398" s="47"/>
      <c r="Z398" s="47"/>
      <c r="AA398" s="47"/>
    </row>
    <row r="399" spans="2:27" x14ac:dyDescent="0.2">
      <c r="B399" s="47"/>
      <c r="C399" s="47"/>
      <c r="D399" s="47"/>
      <c r="E399" s="47"/>
      <c r="F399" s="47"/>
      <c r="G399" s="47"/>
      <c r="H399" s="47"/>
      <c r="I399" s="47"/>
      <c r="J399" s="47"/>
      <c r="K399" s="47"/>
      <c r="N399" s="47"/>
      <c r="P399" s="47"/>
      <c r="Q399" s="47"/>
      <c r="R399" s="47"/>
      <c r="S399" s="47"/>
      <c r="U399" s="47"/>
      <c r="Y399" s="47"/>
      <c r="Z399" s="47"/>
      <c r="AA399" s="47"/>
    </row>
    <row r="400" spans="2:27" x14ac:dyDescent="0.2">
      <c r="B400" s="47"/>
      <c r="C400" s="47"/>
      <c r="D400" s="47"/>
      <c r="E400" s="47"/>
      <c r="F400" s="47"/>
      <c r="G400" s="47"/>
      <c r="H400" s="47"/>
      <c r="I400" s="47"/>
      <c r="J400" s="47"/>
      <c r="K400" s="47"/>
      <c r="N400" s="47"/>
      <c r="P400" s="47"/>
      <c r="Q400" s="47"/>
      <c r="R400" s="47"/>
      <c r="S400" s="47"/>
      <c r="U400" s="47"/>
      <c r="Y400" s="47"/>
      <c r="Z400" s="47"/>
      <c r="AA400" s="47"/>
    </row>
    <row r="401" spans="2:27" x14ac:dyDescent="0.2">
      <c r="B401" s="47"/>
      <c r="C401" s="47"/>
      <c r="D401" s="47"/>
      <c r="E401" s="47"/>
      <c r="F401" s="47"/>
      <c r="G401" s="47"/>
      <c r="H401" s="47"/>
      <c r="I401" s="47"/>
      <c r="J401" s="47"/>
      <c r="K401" s="47"/>
      <c r="N401" s="47"/>
      <c r="P401" s="47"/>
      <c r="Q401" s="47"/>
      <c r="R401" s="47"/>
      <c r="S401" s="47"/>
      <c r="U401" s="47"/>
      <c r="Y401" s="47"/>
      <c r="Z401" s="47"/>
      <c r="AA401" s="47"/>
    </row>
    <row r="402" spans="2:27" x14ac:dyDescent="0.2">
      <c r="B402" s="47"/>
      <c r="C402" s="47"/>
      <c r="D402" s="47"/>
      <c r="E402" s="47"/>
      <c r="F402" s="47"/>
      <c r="G402" s="47"/>
      <c r="H402" s="47"/>
      <c r="I402" s="47"/>
      <c r="J402" s="47"/>
      <c r="K402" s="47"/>
      <c r="N402" s="47"/>
      <c r="P402" s="47"/>
      <c r="Q402" s="47"/>
      <c r="R402" s="47"/>
      <c r="S402" s="47"/>
      <c r="U402" s="47"/>
      <c r="Y402" s="47"/>
      <c r="Z402" s="47"/>
      <c r="AA402" s="47"/>
    </row>
    <row r="403" spans="2:27" x14ac:dyDescent="0.2">
      <c r="B403" s="47"/>
      <c r="C403" s="47"/>
      <c r="D403" s="47"/>
      <c r="E403" s="47"/>
      <c r="F403" s="47"/>
      <c r="G403" s="47"/>
      <c r="H403" s="47"/>
      <c r="I403" s="47"/>
      <c r="J403" s="47"/>
      <c r="K403" s="47"/>
      <c r="N403" s="47"/>
      <c r="P403" s="47"/>
      <c r="Q403" s="47"/>
      <c r="R403" s="47"/>
      <c r="S403" s="47"/>
      <c r="U403" s="47"/>
      <c r="Y403" s="47"/>
      <c r="Z403" s="47"/>
      <c r="AA403" s="47"/>
    </row>
    <row r="404" spans="2:27" x14ac:dyDescent="0.2">
      <c r="B404" s="47"/>
      <c r="C404" s="47"/>
      <c r="D404" s="47"/>
      <c r="E404" s="47"/>
      <c r="F404" s="47"/>
      <c r="G404" s="47"/>
      <c r="H404" s="47"/>
      <c r="I404" s="47"/>
      <c r="J404" s="47"/>
      <c r="K404" s="47"/>
      <c r="N404" s="47"/>
      <c r="P404" s="47"/>
      <c r="Q404" s="47"/>
      <c r="R404" s="47"/>
      <c r="S404" s="47"/>
      <c r="U404" s="47"/>
      <c r="Y404" s="47"/>
      <c r="Z404" s="47"/>
      <c r="AA404" s="47"/>
    </row>
    <row r="405" spans="2:27" x14ac:dyDescent="0.2">
      <c r="B405" s="47"/>
      <c r="C405" s="47"/>
      <c r="D405" s="47"/>
      <c r="E405" s="47"/>
      <c r="F405" s="47"/>
      <c r="G405" s="47"/>
      <c r="H405" s="47"/>
      <c r="I405" s="47"/>
      <c r="J405" s="47"/>
      <c r="K405" s="47"/>
      <c r="N405" s="47"/>
      <c r="P405" s="47"/>
      <c r="Q405" s="47"/>
      <c r="R405" s="47"/>
      <c r="S405" s="47"/>
      <c r="U405" s="47"/>
      <c r="Y405" s="47"/>
      <c r="Z405" s="47"/>
      <c r="AA405" s="47"/>
    </row>
    <row r="406" spans="2:27" x14ac:dyDescent="0.2">
      <c r="B406" s="47"/>
      <c r="C406" s="47"/>
      <c r="D406" s="47"/>
      <c r="E406" s="47"/>
      <c r="F406" s="47"/>
      <c r="G406" s="47"/>
      <c r="H406" s="47"/>
      <c r="I406" s="47"/>
      <c r="J406" s="47"/>
      <c r="K406" s="47"/>
      <c r="N406" s="47"/>
      <c r="P406" s="47"/>
      <c r="Q406" s="47"/>
      <c r="R406" s="47"/>
      <c r="S406" s="47"/>
      <c r="U406" s="47"/>
      <c r="Y406" s="47"/>
      <c r="Z406" s="47"/>
      <c r="AA406" s="47"/>
    </row>
    <row r="407" spans="2:27" x14ac:dyDescent="0.2">
      <c r="B407" s="47"/>
      <c r="C407" s="47"/>
      <c r="D407" s="47"/>
      <c r="E407" s="47"/>
      <c r="F407" s="47"/>
      <c r="G407" s="47"/>
      <c r="H407" s="47"/>
      <c r="I407" s="47"/>
      <c r="J407" s="47"/>
      <c r="K407" s="47"/>
      <c r="N407" s="47"/>
      <c r="P407" s="47"/>
      <c r="Q407" s="47"/>
      <c r="R407" s="47"/>
      <c r="S407" s="47"/>
      <c r="U407" s="47"/>
      <c r="Y407" s="47"/>
      <c r="Z407" s="47"/>
      <c r="AA407" s="47"/>
    </row>
    <row r="408" spans="2:27" x14ac:dyDescent="0.2">
      <c r="B408" s="47"/>
      <c r="C408" s="47"/>
      <c r="D408" s="47"/>
      <c r="E408" s="47"/>
      <c r="F408" s="47"/>
      <c r="G408" s="47"/>
      <c r="H408" s="47"/>
      <c r="I408" s="47"/>
      <c r="J408" s="47"/>
      <c r="K408" s="47"/>
      <c r="N408" s="47"/>
      <c r="P408" s="47"/>
      <c r="Q408" s="47"/>
      <c r="R408" s="47"/>
      <c r="S408" s="47"/>
      <c r="U408" s="47"/>
      <c r="Y408" s="47"/>
      <c r="Z408" s="47"/>
      <c r="AA408" s="47"/>
    </row>
    <row r="409" spans="2:27" x14ac:dyDescent="0.2">
      <c r="B409" s="47"/>
      <c r="C409" s="47"/>
      <c r="D409" s="47"/>
      <c r="E409" s="47"/>
      <c r="F409" s="47"/>
      <c r="G409" s="47"/>
      <c r="H409" s="47"/>
      <c r="I409" s="47"/>
      <c r="J409" s="47"/>
      <c r="K409" s="47"/>
      <c r="N409" s="47"/>
      <c r="P409" s="47"/>
      <c r="Q409" s="47"/>
      <c r="R409" s="47"/>
      <c r="S409" s="47"/>
      <c r="U409" s="47"/>
      <c r="Y409" s="47"/>
      <c r="Z409" s="47"/>
      <c r="AA409" s="47"/>
    </row>
    <row r="410" spans="2:27" x14ac:dyDescent="0.2">
      <c r="B410" s="47"/>
      <c r="C410" s="47"/>
      <c r="D410" s="47"/>
      <c r="E410" s="47"/>
      <c r="F410" s="47"/>
      <c r="G410" s="47"/>
      <c r="H410" s="47"/>
      <c r="I410" s="47"/>
      <c r="J410" s="47"/>
      <c r="K410" s="47"/>
      <c r="N410" s="47"/>
      <c r="P410" s="47"/>
      <c r="Q410" s="47"/>
      <c r="R410" s="47"/>
      <c r="S410" s="47"/>
      <c r="U410" s="47"/>
      <c r="Y410" s="47"/>
      <c r="Z410" s="47"/>
      <c r="AA410" s="47"/>
    </row>
    <row r="411" spans="2:27" x14ac:dyDescent="0.2">
      <c r="B411" s="47"/>
      <c r="C411" s="47"/>
      <c r="D411" s="47"/>
      <c r="E411" s="47"/>
      <c r="F411" s="47"/>
      <c r="G411" s="47"/>
      <c r="H411" s="47"/>
      <c r="I411" s="47"/>
      <c r="J411" s="47"/>
      <c r="K411" s="47"/>
      <c r="N411" s="47"/>
      <c r="P411" s="47"/>
      <c r="Q411" s="47"/>
      <c r="R411" s="47"/>
      <c r="S411" s="47"/>
      <c r="U411" s="47"/>
      <c r="Y411" s="47"/>
      <c r="Z411" s="47"/>
      <c r="AA411" s="47"/>
    </row>
    <row r="412" spans="2:27" x14ac:dyDescent="0.2">
      <c r="B412" s="47"/>
      <c r="C412" s="47"/>
      <c r="D412" s="47"/>
      <c r="E412" s="47"/>
      <c r="F412" s="47"/>
      <c r="G412" s="47"/>
      <c r="H412" s="47"/>
      <c r="I412" s="47"/>
      <c r="J412" s="47"/>
      <c r="K412" s="47"/>
      <c r="N412" s="47"/>
      <c r="P412" s="47"/>
      <c r="Q412" s="47"/>
      <c r="R412" s="47"/>
      <c r="S412" s="47"/>
      <c r="U412" s="47"/>
      <c r="Y412" s="47"/>
      <c r="Z412" s="47"/>
      <c r="AA412" s="47"/>
    </row>
    <row r="413" spans="2:27" x14ac:dyDescent="0.2">
      <c r="B413" s="47"/>
      <c r="C413" s="47"/>
      <c r="D413" s="47"/>
      <c r="E413" s="47"/>
      <c r="F413" s="47"/>
      <c r="G413" s="47"/>
      <c r="H413" s="47"/>
      <c r="I413" s="47"/>
      <c r="J413" s="47"/>
      <c r="K413" s="47"/>
      <c r="N413" s="47"/>
      <c r="P413" s="47"/>
      <c r="Q413" s="47"/>
      <c r="R413" s="47"/>
      <c r="S413" s="47"/>
      <c r="U413" s="47"/>
      <c r="Y413" s="47"/>
      <c r="Z413" s="47"/>
      <c r="AA413" s="47"/>
    </row>
    <row r="414" spans="2:27" x14ac:dyDescent="0.2">
      <c r="B414" s="47"/>
      <c r="C414" s="47"/>
      <c r="D414" s="47"/>
      <c r="E414" s="47"/>
      <c r="F414" s="47"/>
      <c r="G414" s="47"/>
      <c r="H414" s="47"/>
      <c r="I414" s="47"/>
      <c r="J414" s="47"/>
      <c r="K414" s="47"/>
      <c r="N414" s="47"/>
      <c r="P414" s="47"/>
      <c r="Q414" s="47"/>
      <c r="R414" s="47"/>
      <c r="S414" s="47"/>
      <c r="U414" s="47"/>
      <c r="Y414" s="47"/>
      <c r="Z414" s="47"/>
      <c r="AA414" s="47"/>
    </row>
    <row r="415" spans="2:27" x14ac:dyDescent="0.2">
      <c r="B415" s="47"/>
      <c r="C415" s="47"/>
      <c r="D415" s="47"/>
      <c r="E415" s="47"/>
      <c r="F415" s="47"/>
      <c r="G415" s="47"/>
      <c r="H415" s="47"/>
      <c r="I415" s="47"/>
      <c r="J415" s="47"/>
      <c r="K415" s="47"/>
      <c r="N415" s="47"/>
      <c r="P415" s="47"/>
      <c r="Q415" s="47"/>
      <c r="R415" s="47"/>
      <c r="S415" s="47"/>
      <c r="U415" s="47"/>
      <c r="Y415" s="47"/>
      <c r="Z415" s="47"/>
      <c r="AA415" s="47"/>
    </row>
    <row r="416" spans="2:27" x14ac:dyDescent="0.2">
      <c r="B416" s="47"/>
      <c r="C416" s="47"/>
      <c r="D416" s="47"/>
      <c r="E416" s="47"/>
      <c r="F416" s="47"/>
      <c r="G416" s="47"/>
      <c r="H416" s="47"/>
      <c r="I416" s="47"/>
      <c r="J416" s="47"/>
      <c r="K416" s="47"/>
      <c r="N416" s="47"/>
      <c r="P416" s="47"/>
      <c r="Q416" s="47"/>
      <c r="R416" s="47"/>
      <c r="S416" s="47"/>
      <c r="U416" s="47"/>
      <c r="Y416" s="47"/>
      <c r="Z416" s="47"/>
      <c r="AA416" s="47"/>
    </row>
    <row r="417" x14ac:dyDescent="0.2"/>
    <row r="418" x14ac:dyDescent="0.2"/>
    <row r="419" x14ac:dyDescent="0.2"/>
    <row r="420" x14ac:dyDescent="0.2"/>
    <row r="421" x14ac:dyDescent="0.2"/>
    <row r="422" x14ac:dyDescent="0.2"/>
    <row r="423" x14ac:dyDescent="0.2"/>
    <row r="424" x14ac:dyDescent="0.2"/>
    <row r="425" x14ac:dyDescent="0.2"/>
    <row r="426" x14ac:dyDescent="0.2"/>
    <row r="427" x14ac:dyDescent="0.2"/>
    <row r="428" x14ac:dyDescent="0.2"/>
    <row r="429" x14ac:dyDescent="0.2"/>
    <row r="430" x14ac:dyDescent="0.2"/>
    <row r="431" x14ac:dyDescent="0.2"/>
    <row r="432" x14ac:dyDescent="0.2"/>
    <row r="433" x14ac:dyDescent="0.2"/>
    <row r="434" x14ac:dyDescent="0.2"/>
    <row r="435" x14ac:dyDescent="0.2"/>
    <row r="436" x14ac:dyDescent="0.2"/>
    <row r="437" x14ac:dyDescent="0.2"/>
    <row r="438" x14ac:dyDescent="0.2"/>
    <row r="439" x14ac:dyDescent="0.2"/>
    <row r="440" x14ac:dyDescent="0.2"/>
    <row r="441" x14ac:dyDescent="0.2"/>
    <row r="442" x14ac:dyDescent="0.2"/>
    <row r="443" x14ac:dyDescent="0.2"/>
    <row r="444" x14ac:dyDescent="0.2"/>
    <row r="445" x14ac:dyDescent="0.2"/>
    <row r="446" x14ac:dyDescent="0.2"/>
    <row r="447" x14ac:dyDescent="0.2"/>
    <row r="448" x14ac:dyDescent="0.2"/>
    <row r="449" x14ac:dyDescent="0.2"/>
    <row r="450" x14ac:dyDescent="0.2"/>
    <row r="451" x14ac:dyDescent="0.2"/>
    <row r="452" x14ac:dyDescent="0.2"/>
    <row r="453" x14ac:dyDescent="0.2"/>
    <row r="454" x14ac:dyDescent="0.2"/>
    <row r="455" x14ac:dyDescent="0.2"/>
    <row r="456" x14ac:dyDescent="0.2"/>
    <row r="457" x14ac:dyDescent="0.2"/>
    <row r="458" x14ac:dyDescent="0.2"/>
    <row r="459" x14ac:dyDescent="0.2"/>
    <row r="460" x14ac:dyDescent="0.2"/>
    <row r="461" x14ac:dyDescent="0.2"/>
    <row r="462" x14ac:dyDescent="0.2"/>
    <row r="463" x14ac:dyDescent="0.2"/>
    <row r="464" x14ac:dyDescent="0.2"/>
    <row r="465" x14ac:dyDescent="0.2"/>
    <row r="466" x14ac:dyDescent="0.2"/>
    <row r="467" x14ac:dyDescent="0.2"/>
    <row r="468" x14ac:dyDescent="0.2"/>
    <row r="469" x14ac:dyDescent="0.2"/>
    <row r="470" x14ac:dyDescent="0.2"/>
    <row r="471" x14ac:dyDescent="0.2"/>
    <row r="472" x14ac:dyDescent="0.2"/>
    <row r="473" x14ac:dyDescent="0.2"/>
    <row r="474" x14ac:dyDescent="0.2"/>
    <row r="475" x14ac:dyDescent="0.2"/>
    <row r="476" x14ac:dyDescent="0.2"/>
    <row r="477" x14ac:dyDescent="0.2"/>
    <row r="478" x14ac:dyDescent="0.2"/>
    <row r="479" x14ac:dyDescent="0.2"/>
    <row r="480" x14ac:dyDescent="0.2"/>
    <row r="481" x14ac:dyDescent="0.2"/>
    <row r="482" x14ac:dyDescent="0.2"/>
    <row r="483" x14ac:dyDescent="0.2"/>
    <row r="484" x14ac:dyDescent="0.2"/>
    <row r="485" x14ac:dyDescent="0.2"/>
    <row r="486" x14ac:dyDescent="0.2"/>
    <row r="487" x14ac:dyDescent="0.2"/>
    <row r="488" x14ac:dyDescent="0.2"/>
    <row r="489" x14ac:dyDescent="0.2"/>
    <row r="490" x14ac:dyDescent="0.2"/>
    <row r="491" x14ac:dyDescent="0.2"/>
    <row r="492" x14ac:dyDescent="0.2"/>
    <row r="493" x14ac:dyDescent="0.2"/>
    <row r="494" x14ac:dyDescent="0.2"/>
    <row r="495" x14ac:dyDescent="0.2"/>
    <row r="496" x14ac:dyDescent="0.2"/>
    <row r="497" x14ac:dyDescent="0.2"/>
    <row r="498" x14ac:dyDescent="0.2"/>
    <row r="499" x14ac:dyDescent="0.2"/>
    <row r="500" x14ac:dyDescent="0.2"/>
    <row r="501" x14ac:dyDescent="0.2"/>
    <row r="502" x14ac:dyDescent="0.2"/>
    <row r="503" x14ac:dyDescent="0.2"/>
    <row r="504" x14ac:dyDescent="0.2"/>
  </sheetData>
  <autoFilter ref="B8:AF8"/>
  <mergeCells count="2">
    <mergeCell ref="AB2:AB4"/>
    <mergeCell ref="AC2:AF4"/>
  </mergeCells>
  <phoneticPr fontId="2" type="noConversion"/>
  <dataValidations xWindow="868" yWindow="368" count="31">
    <dataValidation type="list" allowBlank="1" showInputMessage="1" promptTitle="Basis for Model Selection" prompt="Enter justification for best-fitting model (or no best-fitting model). _x000a__x000a_Text will be inserted into BMDS Wizard summary table._x000a__x000a_Default or custom messages can be used." sqref="AC2:AE4">
      <formula1>Valid_TextBasis</formula1>
    </dataValidation>
    <dataValidation type="list" allowBlank="1" showInputMessage="1" showErrorMessage="1" promptTitle="Model Selection" prompt="&quot;Select&quot;: selected model_x000d__x000a_&quot;Include&quot;: print in summary table_x000d__x000a_&quot;Don't Include&quot;: don't print in summary table" sqref="AE9">
      <formula1>Valid_ModelSelection</formula1>
    </dataValidation>
    <dataValidation type="list" allowBlank="1" showInputMessage="1" showErrorMessage="1" promptTitle="Override Wizard Model Placement" prompt="Overrides default bin placements to user-specified bins_x000d__x000a__x000d__x000a_Press &quot;Recalculate Recommendations&quot; after changing" sqref="AB9">
      <formula1>Valid_UserOverrides</formula1>
    </dataValidation>
    <dataValidation allowBlank="1" showInputMessage="1" showErrorMessage="1" promptTitle="User Notes" prompt="Adds any additional notes to describe model-fit or selection." sqref="AF9"/>
    <dataValidation type="list" allowBlank="1" showInputMessage="1" showErrorMessage="1" promptTitle="Model Selection" prompt="&quot;Select&quot;: selected model_x000d__x000a_&quot;Include&quot;: print in summary table_x000d__x000a_&quot;Don't Include&quot;: don't print in summary table" sqref="AE10">
      <formula1>Valid_ModelSelection</formula1>
    </dataValidation>
    <dataValidation type="list" allowBlank="1" showInputMessage="1" showErrorMessage="1" promptTitle="Override Wizard Model Placement" prompt="Overrides default bin placements to user-specified bins_x000d__x000a__x000d__x000a_Press &quot;Recalculate Recommendations&quot; after changing" sqref="AB10">
      <formula1>Valid_UserOverrides</formula1>
    </dataValidation>
    <dataValidation allowBlank="1" showInputMessage="1" showErrorMessage="1" promptTitle="User Notes" prompt="Adds any additional notes to describe model-fit or selection." sqref="AF10"/>
    <dataValidation type="list" allowBlank="1" showInputMessage="1" showErrorMessage="1" promptTitle="Model Selection" prompt="&quot;Select&quot;: selected model_x000d__x000a_&quot;Include&quot;: print in summary table_x000d__x000a_&quot;Don't Include&quot;: don't print in summary table" sqref="AE11">
      <formula1>Valid_ModelSelection</formula1>
    </dataValidation>
    <dataValidation type="list" allowBlank="1" showInputMessage="1" showErrorMessage="1" promptTitle="Override Wizard Model Placement" prompt="Overrides default bin placements to user-specified bins_x000d__x000a__x000d__x000a_Press &quot;Recalculate Recommendations&quot; after changing" sqref="AB11">
      <formula1>Valid_UserOverrides</formula1>
    </dataValidation>
    <dataValidation allowBlank="1" showInputMessage="1" showErrorMessage="1" promptTitle="User Notes" prompt="Adds any additional notes to describe model-fit or selection." sqref="AF11"/>
    <dataValidation type="list" allowBlank="1" showInputMessage="1" showErrorMessage="1" promptTitle="Model Selection" prompt="&quot;Select&quot;: selected model_x000d__x000a_&quot;Include&quot;: print in summary table_x000d__x000a_&quot;Don't Include&quot;: don't print in summary table" sqref="AE12">
      <formula1>Valid_ModelSelection</formula1>
    </dataValidation>
    <dataValidation type="list" allowBlank="1" showInputMessage="1" showErrorMessage="1" promptTitle="Override Wizard Model Placement" prompt="Overrides default bin placements to user-specified bins_x000d__x000a__x000d__x000a_Press &quot;Recalculate Recommendations&quot; after changing" sqref="AB12">
      <formula1>Valid_UserOverrides</formula1>
    </dataValidation>
    <dataValidation allowBlank="1" showInputMessage="1" showErrorMessage="1" promptTitle="User Notes" prompt="Adds any additional notes to describe model-fit or selection." sqref="AF12"/>
    <dataValidation type="list" allowBlank="1" showInputMessage="1" showErrorMessage="1" promptTitle="Model Selection" prompt="&quot;Select&quot;: selected model_x000d__x000a_&quot;Include&quot;: print in summary table_x000d__x000a_&quot;Don't Include&quot;: don't print in summary table" sqref="AE13">
      <formula1>Valid_ModelSelection</formula1>
    </dataValidation>
    <dataValidation type="list" allowBlank="1" showInputMessage="1" showErrorMessage="1" promptTitle="Override Wizard Model Placement" prompt="Overrides default bin placements to user-specified bins_x000d__x000a__x000d__x000a_Press &quot;Recalculate Recommendations&quot; after changing" sqref="AB13">
      <formula1>Valid_UserOverrides</formula1>
    </dataValidation>
    <dataValidation allowBlank="1" showInputMessage="1" showErrorMessage="1" promptTitle="User Notes" prompt="Adds any additional notes to describe model-fit or selection." sqref="AF13"/>
    <dataValidation type="list" allowBlank="1" showInputMessage="1" showErrorMessage="1" promptTitle="Model Selection" prompt="&quot;Select&quot;: selected model_x000d__x000a_&quot;Include&quot;: print in summary table_x000d__x000a_&quot;Don't Include&quot;: don't print in summary table" sqref="AE14">
      <formula1>Valid_ModelSelection</formula1>
    </dataValidation>
    <dataValidation type="list" allowBlank="1" showInputMessage="1" showErrorMessage="1" promptTitle="Override Wizard Model Placement" prompt="Overrides default bin placements to user-specified bins_x000d__x000a__x000d__x000a_Press &quot;Recalculate Recommendations&quot; after changing" sqref="AB14">
      <formula1>Valid_UserOverrides</formula1>
    </dataValidation>
    <dataValidation allowBlank="1" showInputMessage="1" showErrorMessage="1" promptTitle="User Notes" prompt="Adds any additional notes to describe model-fit or selection." sqref="AF14"/>
    <dataValidation type="list" allowBlank="1" showInputMessage="1" showErrorMessage="1" promptTitle="Model Selection" prompt="&quot;Select&quot;: selected model_x000d__x000a_&quot;Include&quot;: print in summary table_x000d__x000a_&quot;Don't Include&quot;: don't print in summary table" sqref="AE15">
      <formula1>Valid_ModelSelection</formula1>
    </dataValidation>
    <dataValidation type="list" allowBlank="1" showInputMessage="1" showErrorMessage="1" promptTitle="Override Wizard Model Placement" prompt="Overrides default bin placements to user-specified bins_x000d__x000a__x000d__x000a_Press &quot;Recalculate Recommendations&quot; after changing" sqref="AB15">
      <formula1>Valid_UserOverrides</formula1>
    </dataValidation>
    <dataValidation allowBlank="1" showInputMessage="1" showErrorMessage="1" promptTitle="User Notes" prompt="Adds any additional notes to describe model-fit or selection." sqref="AF15"/>
    <dataValidation type="list" allowBlank="1" showInputMessage="1" showErrorMessage="1" promptTitle="Model Selection" prompt="&quot;Select&quot;: selected model_x000d__x000a_&quot;Include&quot;: print in summary table_x000d__x000a_&quot;Don't Include&quot;: don't print in summary table" sqref="AE16">
      <formula1>Valid_ModelSelection</formula1>
    </dataValidation>
    <dataValidation type="list" allowBlank="1" showInputMessage="1" showErrorMessage="1" promptTitle="Override Wizard Model Placement" prompt="Overrides default bin placements to user-specified bins_x000d__x000a__x000d__x000a_Press &quot;Recalculate Recommendations&quot; after changing" sqref="AB16">
      <formula1>Valid_UserOverrides</formula1>
    </dataValidation>
    <dataValidation allowBlank="1" showInputMessage="1" showErrorMessage="1" promptTitle="User Notes" prompt="Adds any additional notes to describe model-fit or selection." sqref="AF16"/>
    <dataValidation type="list" allowBlank="1" showInputMessage="1" showErrorMessage="1" promptTitle="Model Selection" prompt="&quot;Select&quot;: selected model_x000d__x000a_&quot;Include&quot;: print in summary table_x000d__x000a_&quot;Don't Include&quot;: don't print in summary table" sqref="AE17">
      <formula1>Valid_ModelSelection</formula1>
    </dataValidation>
    <dataValidation type="list" allowBlank="1" showInputMessage="1" showErrorMessage="1" promptTitle="Override Wizard Model Placement" prompt="Overrides default bin placements to user-specified bins_x000d__x000a__x000d__x000a_Press &quot;Recalculate Recommendations&quot; after changing" sqref="AB17">
      <formula1>Valid_UserOverrides</formula1>
    </dataValidation>
    <dataValidation allowBlank="1" showInputMessage="1" showErrorMessage="1" promptTitle="User Notes" prompt="Adds any additional notes to describe model-fit or selection." sqref="AF17"/>
    <dataValidation type="list" allowBlank="1" showInputMessage="1" showErrorMessage="1" promptTitle="Model Selection" prompt="&quot;Select&quot;: selected model_x000d__x000a_&quot;Include&quot;: print in summary table_x000d__x000a_&quot;Don't Include&quot;: don't print in summary table" sqref="AE18">
      <formula1>Valid_ModelSelection</formula1>
    </dataValidation>
    <dataValidation type="list" allowBlank="1" showInputMessage="1" showErrorMessage="1" promptTitle="Override Wizard Model Placement" prompt="Overrides default bin placements to user-specified bins_x000d__x000a__x000d__x000a_Press &quot;Recalculate Recommendations&quot; after changing" sqref="AB18">
      <formula1>Valid_UserOverrides</formula1>
    </dataValidation>
    <dataValidation allowBlank="1" showInputMessage="1" showErrorMessage="1" promptTitle="User Notes" prompt="Adds any additional notes to describe model-fit or selection." sqref="AF18"/>
  </dataValidations>
  <hyperlinks>
    <hyperlink ref="B6" location="Main!A6" tooltip="Returns user to the &quot;Main&quot; worksheet" display="Main Menu"/>
    <hyperlink ref="D4" location="Main!A1" display="Back to Main"/>
  </hyperlinks>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9122" r:id="rId4" name="Button 5026">
              <controlPr defaultSize="0" print="0" autoFill="0" autoPict="0" macro="[0]!Update_HyperlinksAndEMF">
                <anchor moveWithCells="1">
                  <from>
                    <xdr:col>2</xdr:col>
                    <xdr:colOff>47625</xdr:colOff>
                    <xdr:row>7</xdr:row>
                    <xdr:rowOff>400050</xdr:rowOff>
                  </from>
                  <to>
                    <xdr:col>2</xdr:col>
                    <xdr:colOff>723900</xdr:colOff>
                    <xdr:row>7</xdr:row>
                    <xdr:rowOff>666750</xdr:rowOff>
                  </to>
                </anchor>
              </controlPr>
            </control>
          </mc:Choice>
        </mc:AlternateContent>
        <mc:AlternateContent xmlns:mc="http://schemas.openxmlformats.org/markup-compatibility/2006">
          <mc:Choice Requires="x14">
            <control shapeId="13999" r:id="rId5" name="Button 7855">
              <controlPr defaultSize="0" print="0" autoFill="0" autoPict="0" macro="[0]!ImportBMDSResults">
                <anchor moveWithCells="1" sizeWithCells="1">
                  <from>
                    <xdr:col>8</xdr:col>
                    <xdr:colOff>104775</xdr:colOff>
                    <xdr:row>1</xdr:row>
                    <xdr:rowOff>76200</xdr:rowOff>
                  </from>
                  <to>
                    <xdr:col>9</xdr:col>
                    <xdr:colOff>295275</xdr:colOff>
                    <xdr:row>3</xdr:row>
                    <xdr:rowOff>85725</xdr:rowOff>
                  </to>
                </anchor>
              </controlPr>
            </control>
          </mc:Choice>
        </mc:AlternateContent>
        <mc:AlternateContent xmlns:mc="http://schemas.openxmlformats.org/markup-compatibility/2006">
          <mc:Choice Requires="x14">
            <control shapeId="14028" r:id="rId6" name="Button 7884">
              <controlPr defaultSize="0" print="0" autoFill="0" autoPict="0" macro="[0]!ClearResultsTable">
                <anchor moveWithCells="1" sizeWithCells="1">
                  <from>
                    <xdr:col>9</xdr:col>
                    <xdr:colOff>428625</xdr:colOff>
                    <xdr:row>1</xdr:row>
                    <xdr:rowOff>76200</xdr:rowOff>
                  </from>
                  <to>
                    <xdr:col>10</xdr:col>
                    <xdr:colOff>542925</xdr:colOff>
                    <xdr:row>3</xdr:row>
                    <xdr:rowOff>85725</xdr:rowOff>
                  </to>
                </anchor>
              </controlPr>
            </control>
          </mc:Choice>
        </mc:AlternateContent>
        <mc:AlternateContent xmlns:mc="http://schemas.openxmlformats.org/markup-compatibility/2006">
          <mc:Choice Requires="x14">
            <control shapeId="14992" r:id="rId7" name="Button 8848">
              <controlPr defaultSize="0" print="0" autoFill="0" autoPict="0" macro="[0]!DecisionLogic">
                <anchor moveWithCells="1" sizeWithCells="1">
                  <from>
                    <xdr:col>25</xdr:col>
                    <xdr:colOff>152400</xdr:colOff>
                    <xdr:row>1</xdr:row>
                    <xdr:rowOff>57150</xdr:rowOff>
                  </from>
                  <to>
                    <xdr:col>26</xdr:col>
                    <xdr:colOff>581025</xdr:colOff>
                    <xdr:row>3</xdr:row>
                    <xdr:rowOff>85725</xdr:rowOff>
                  </to>
                </anchor>
              </controlPr>
            </control>
          </mc:Choice>
        </mc:AlternateContent>
        <mc:AlternateContent xmlns:mc="http://schemas.openxmlformats.org/markup-compatibility/2006">
          <mc:Choice Requires="x14">
            <control shapeId="15142" r:id="rId8" name="Button 8998">
              <controlPr defaultSize="0" print="0" autoFill="0" autoPict="0" macro="[0]!WrdReport">
                <anchor moveWithCells="1" sizeWithCells="1">
                  <from>
                    <xdr:col>32</xdr:col>
                    <xdr:colOff>76200</xdr:colOff>
                    <xdr:row>1</xdr:row>
                    <xdr:rowOff>66675</xdr:rowOff>
                  </from>
                  <to>
                    <xdr:col>32</xdr:col>
                    <xdr:colOff>695325</xdr:colOff>
                    <xdr:row>3</xdr:row>
                    <xdr:rowOff>95250</xdr:rowOff>
                  </to>
                </anchor>
              </controlPr>
            </control>
          </mc:Choice>
        </mc:AlternateContent>
        <mc:AlternateContent xmlns:mc="http://schemas.openxmlformats.org/markup-compatibility/2006">
          <mc:Choice Requires="x14">
            <control shapeId="15159" r:id="rId9" name="Button 9015">
              <controlPr defaultSize="0" print="0" autoFill="0" autoPict="0" macro="[0]!ViewOutputs">
                <anchor moveWithCells="1" sizeWithCells="1">
                  <from>
                    <xdr:col>19</xdr:col>
                    <xdr:colOff>95250</xdr:colOff>
                    <xdr:row>1</xdr:row>
                    <xdr:rowOff>76200</xdr:rowOff>
                  </from>
                  <to>
                    <xdr:col>20</xdr:col>
                    <xdr:colOff>571500</xdr:colOff>
                    <xdr:row>3</xdr:row>
                    <xdr:rowOff>85725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enableFormatConditionsCalculation="0">
    <tabColor indexed="42"/>
  </sheetPr>
  <dimension ref="A1:K43"/>
  <sheetViews>
    <sheetView zoomScaleNormal="100" workbookViewId="0">
      <pane ySplit="5" topLeftCell="A6" activePane="bottomLeft" state="frozen"/>
      <selection pane="bottomLeft"/>
    </sheetView>
  </sheetViews>
  <sheetFormatPr defaultColWidth="0" defaultRowHeight="12.75" zeroHeight="1" x14ac:dyDescent="0.2"/>
  <cols>
    <col min="1" max="1" width="4.28515625" style="6" customWidth="1"/>
    <col min="2" max="2" width="35.140625" style="6" customWidth="1"/>
    <col min="3" max="4" width="10.42578125" style="6" customWidth="1"/>
    <col min="5" max="5" width="12.42578125" style="6" customWidth="1"/>
    <col min="6" max="6" width="14.28515625" style="6" customWidth="1"/>
    <col min="7" max="7" width="22.42578125" style="6" bestFit="1" customWidth="1"/>
    <col min="8" max="8" width="57.85546875" style="6" bestFit="1" customWidth="1"/>
    <col min="9" max="10" width="10.42578125" style="6" customWidth="1"/>
    <col min="11" max="11" width="9.140625" style="6" customWidth="1"/>
    <col min="12" max="16384" width="9.140625" style="6" hidden="1"/>
  </cols>
  <sheetData>
    <row r="1" spans="2:8" s="1" customFormat="1" ht="11.25" customHeight="1" x14ac:dyDescent="0.2"/>
    <row r="2" spans="2:8" s="1" customFormat="1" ht="18" customHeight="1" x14ac:dyDescent="0.25">
      <c r="B2" s="10" t="s">
        <v>562</v>
      </c>
    </row>
    <row r="3" spans="2:8" s="1" customFormat="1" ht="11.25" customHeight="1" x14ac:dyDescent="0.2"/>
    <row r="4" spans="2:8" s="1" customFormat="1" ht="12.75" customHeight="1" x14ac:dyDescent="0.2">
      <c r="B4" s="1" t="s">
        <v>595</v>
      </c>
    </row>
    <row r="5" spans="2:8" s="11" customFormat="1" ht="11.25" customHeight="1" thickBot="1" x14ac:dyDescent="0.25"/>
    <row r="6" spans="2:8" ht="13.5" thickTop="1" x14ac:dyDescent="0.2">
      <c r="B6" s="24" t="s">
        <v>472</v>
      </c>
    </row>
    <row r="7" spans="2:8" x14ac:dyDescent="0.2"/>
    <row r="8" spans="2:8" x14ac:dyDescent="0.2">
      <c r="B8" s="12" t="s">
        <v>571</v>
      </c>
    </row>
    <row r="9" spans="2:8" ht="31.5" customHeight="1" x14ac:dyDescent="0.2">
      <c r="B9" s="123" t="s">
        <v>569</v>
      </c>
      <c r="C9" s="123"/>
      <c r="D9" s="123"/>
      <c r="E9" s="4" t="b">
        <v>1</v>
      </c>
    </row>
    <row r="10" spans="2:8" ht="31.5" customHeight="1" x14ac:dyDescent="0.2">
      <c r="B10" s="123" t="s">
        <v>570</v>
      </c>
      <c r="C10" s="123"/>
      <c r="D10" s="123"/>
      <c r="E10" s="4" t="b">
        <v>0</v>
      </c>
    </row>
    <row r="11" spans="2:8" ht="31.5" customHeight="1" x14ac:dyDescent="0.2">
      <c r="B11" s="123" t="s">
        <v>594</v>
      </c>
      <c r="C11" s="123"/>
      <c r="D11" s="123"/>
      <c r="E11" s="4">
        <v>3</v>
      </c>
    </row>
    <row r="12" spans="2:8" x14ac:dyDescent="0.2"/>
    <row r="13" spans="2:8" x14ac:dyDescent="0.2">
      <c r="B13" s="12" t="s">
        <v>580</v>
      </c>
    </row>
    <row r="14" spans="2:8" x14ac:dyDescent="0.2">
      <c r="B14" s="122" t="s">
        <v>563</v>
      </c>
      <c r="C14" s="122" t="s">
        <v>581</v>
      </c>
      <c r="D14" s="122"/>
      <c r="E14" s="122"/>
      <c r="F14" s="122" t="s">
        <v>582</v>
      </c>
      <c r="G14" s="122" t="s">
        <v>583</v>
      </c>
      <c r="H14" s="122" t="s">
        <v>584</v>
      </c>
    </row>
    <row r="15" spans="2:8" ht="38.25" x14ac:dyDescent="0.2">
      <c r="B15" s="122"/>
      <c r="C15" s="9" t="s">
        <v>598</v>
      </c>
      <c r="D15" s="9" t="s">
        <v>603</v>
      </c>
      <c r="E15" s="9" t="s">
        <v>404</v>
      </c>
      <c r="F15" s="122"/>
      <c r="G15" s="122"/>
      <c r="H15" s="122"/>
    </row>
    <row r="16" spans="2:8" x14ac:dyDescent="0.2">
      <c r="B16" s="13" t="s">
        <v>572</v>
      </c>
      <c r="C16" s="4" t="s">
        <v>565</v>
      </c>
      <c r="D16" s="4" t="s">
        <v>565</v>
      </c>
      <c r="E16" s="4" t="s">
        <v>565</v>
      </c>
      <c r="F16" s="4" t="s">
        <v>573</v>
      </c>
      <c r="G16" s="5" t="s">
        <v>574</v>
      </c>
      <c r="H16" s="5" t="s">
        <v>575</v>
      </c>
    </row>
    <row r="17" spans="2:8" x14ac:dyDescent="0.2">
      <c r="B17" s="13" t="s">
        <v>576</v>
      </c>
      <c r="C17" s="4" t="s">
        <v>565</v>
      </c>
      <c r="D17" s="4" t="s">
        <v>565</v>
      </c>
      <c r="E17" s="4" t="s">
        <v>565</v>
      </c>
      <c r="F17" s="4" t="s">
        <v>573</v>
      </c>
      <c r="G17" s="5" t="s">
        <v>574</v>
      </c>
      <c r="H17" s="5" t="s">
        <v>577</v>
      </c>
    </row>
    <row r="18" spans="2:8" x14ac:dyDescent="0.2">
      <c r="B18" s="13" t="s">
        <v>585</v>
      </c>
      <c r="C18" s="4" t="s">
        <v>566</v>
      </c>
      <c r="D18" s="4" t="s">
        <v>566</v>
      </c>
      <c r="E18" s="4" t="s">
        <v>566</v>
      </c>
      <c r="F18" s="4" t="s">
        <v>573</v>
      </c>
      <c r="G18" s="5" t="s">
        <v>574</v>
      </c>
      <c r="H18" s="5" t="s">
        <v>586</v>
      </c>
    </row>
    <row r="19" spans="2:8" x14ac:dyDescent="0.2">
      <c r="B19" s="13" t="s">
        <v>578</v>
      </c>
      <c r="C19" s="4" t="s">
        <v>565</v>
      </c>
      <c r="D19" s="4" t="s">
        <v>565</v>
      </c>
      <c r="E19" s="4" t="s">
        <v>565</v>
      </c>
      <c r="F19" s="4" t="s">
        <v>573</v>
      </c>
      <c r="G19" s="5" t="s">
        <v>574</v>
      </c>
      <c r="H19" s="5" t="s">
        <v>579</v>
      </c>
    </row>
    <row r="20" spans="2:8" x14ac:dyDescent="0.2">
      <c r="B20" s="13" t="s">
        <v>600</v>
      </c>
      <c r="C20" s="4" t="s">
        <v>566</v>
      </c>
      <c r="D20" s="4" t="s">
        <v>566</v>
      </c>
      <c r="E20" s="4" t="s">
        <v>565</v>
      </c>
      <c r="F20" s="4">
        <v>0.1</v>
      </c>
      <c r="G20" s="5" t="s">
        <v>574</v>
      </c>
      <c r="H20" s="5" t="s">
        <v>596</v>
      </c>
    </row>
    <row r="21" spans="2:8" x14ac:dyDescent="0.2">
      <c r="B21" s="13" t="s">
        <v>601</v>
      </c>
      <c r="C21" s="4" t="s">
        <v>566</v>
      </c>
      <c r="D21" s="4" t="s">
        <v>566</v>
      </c>
      <c r="E21" s="4" t="s">
        <v>565</v>
      </c>
      <c r="F21" s="4">
        <v>0.1</v>
      </c>
      <c r="G21" s="5" t="s">
        <v>574</v>
      </c>
      <c r="H21" s="5" t="s">
        <v>602</v>
      </c>
    </row>
    <row r="22" spans="2:8" x14ac:dyDescent="0.2">
      <c r="B22" s="13" t="s">
        <v>593</v>
      </c>
      <c r="C22" s="4" t="s">
        <v>565</v>
      </c>
      <c r="D22" s="4" t="s">
        <v>566</v>
      </c>
      <c r="E22" s="4" t="s">
        <v>565</v>
      </c>
      <c r="F22" s="4">
        <v>0.1</v>
      </c>
      <c r="G22" s="5" t="s">
        <v>859</v>
      </c>
      <c r="H22" s="5" t="str">
        <f>"Goodness of fit p-test &lt; "&amp;F22</f>
        <v>Goodness of fit p-test &lt; 0.1</v>
      </c>
    </row>
    <row r="23" spans="2:8" x14ac:dyDescent="0.2">
      <c r="B23" s="13" t="s">
        <v>590</v>
      </c>
      <c r="C23" s="4" t="s">
        <v>566</v>
      </c>
      <c r="D23" s="4" t="s">
        <v>565</v>
      </c>
      <c r="E23" s="4" t="s">
        <v>566</v>
      </c>
      <c r="F23" s="4">
        <v>0.05</v>
      </c>
      <c r="G23" s="5" t="s">
        <v>859</v>
      </c>
      <c r="H23" s="5" t="str">
        <f>"Goodness of fit p-test &lt; "&amp;F23</f>
        <v>Goodness of fit p-test &lt; 0.05</v>
      </c>
    </row>
    <row r="24" spans="2:8" x14ac:dyDescent="0.2">
      <c r="B24" s="13" t="s">
        <v>587</v>
      </c>
      <c r="C24" s="4" t="s">
        <v>565</v>
      </c>
      <c r="D24" s="4" t="s">
        <v>565</v>
      </c>
      <c r="E24" s="4" t="s">
        <v>565</v>
      </c>
      <c r="F24" s="4">
        <v>20</v>
      </c>
      <c r="G24" s="5" t="s">
        <v>859</v>
      </c>
      <c r="H24" s="5" t="str">
        <f>"BMD/BMDL ratio &gt; "&amp;F24</f>
        <v>BMD/BMDL ratio &gt; 20</v>
      </c>
    </row>
    <row r="25" spans="2:8" x14ac:dyDescent="0.2">
      <c r="B25" s="13" t="s">
        <v>588</v>
      </c>
      <c r="C25" s="4" t="s">
        <v>565</v>
      </c>
      <c r="D25" s="4" t="s">
        <v>565</v>
      </c>
      <c r="E25" s="4" t="s">
        <v>565</v>
      </c>
      <c r="F25" s="4">
        <v>5</v>
      </c>
      <c r="G25" s="5" t="s">
        <v>589</v>
      </c>
      <c r="H25" s="5" t="str">
        <f>"BMD/BMDL ratio &gt; "&amp;F25</f>
        <v>BMD/BMDL ratio &gt; 5</v>
      </c>
    </row>
    <row r="26" spans="2:8" x14ac:dyDescent="0.2">
      <c r="B26" s="13" t="s">
        <v>591</v>
      </c>
      <c r="C26" s="4" t="s">
        <v>565</v>
      </c>
      <c r="D26" s="4" t="s">
        <v>565</v>
      </c>
      <c r="E26" s="4" t="s">
        <v>565</v>
      </c>
      <c r="F26" s="4">
        <v>2</v>
      </c>
      <c r="G26" s="77" t="s">
        <v>859</v>
      </c>
      <c r="H26" s="5" t="str">
        <f>"|Residual of interest| &gt; "&amp;F26</f>
        <v>|Residual of interest| &gt; 2</v>
      </c>
    </row>
    <row r="27" spans="2:8" x14ac:dyDescent="0.2">
      <c r="B27" s="13" t="s">
        <v>750</v>
      </c>
      <c r="C27" s="4" t="s">
        <v>565</v>
      </c>
      <c r="D27" s="4" t="s">
        <v>565</v>
      </c>
      <c r="E27" s="4" t="s">
        <v>565</v>
      </c>
      <c r="F27" s="4" t="s">
        <v>573</v>
      </c>
      <c r="G27" s="5" t="s">
        <v>589</v>
      </c>
      <c r="H27" s="5" t="s">
        <v>751</v>
      </c>
    </row>
    <row r="28" spans="2:8" x14ac:dyDescent="0.2">
      <c r="B28" s="13" t="s">
        <v>604</v>
      </c>
      <c r="C28" s="4" t="s">
        <v>565</v>
      </c>
      <c r="D28" s="4" t="s">
        <v>565</v>
      </c>
      <c r="E28" s="4" t="s">
        <v>565</v>
      </c>
      <c r="F28" s="4">
        <v>1</v>
      </c>
      <c r="G28" s="5" t="s">
        <v>589</v>
      </c>
      <c r="H28" s="5" t="str">
        <f>IF(F28&lt;&gt;1,"BMD " &amp;F28&amp;"x higher than maximum dose","BMD higher than maximum dose")</f>
        <v>BMD higher than maximum dose</v>
      </c>
    </row>
    <row r="29" spans="2:8" x14ac:dyDescent="0.2">
      <c r="B29" s="13" t="s">
        <v>605</v>
      </c>
      <c r="C29" s="4" t="s">
        <v>565</v>
      </c>
      <c r="D29" s="4" t="s">
        <v>565</v>
      </c>
      <c r="E29" s="4" t="s">
        <v>565</v>
      </c>
      <c r="F29" s="4">
        <v>1</v>
      </c>
      <c r="G29" s="77" t="s">
        <v>859</v>
      </c>
      <c r="H29" s="5" t="str">
        <f>IF(F29&lt;&gt;1,"BMDL " &amp;F29&amp;"x higher than maximum dose","BMDL higher than maximum dose")</f>
        <v>BMDL higher than maximum dose</v>
      </c>
    </row>
    <row r="30" spans="2:8" x14ac:dyDescent="0.2">
      <c r="B30" s="13" t="s">
        <v>852</v>
      </c>
      <c r="C30" s="4" t="s">
        <v>565</v>
      </c>
      <c r="D30" s="4" t="s">
        <v>565</v>
      </c>
      <c r="E30" s="4" t="s">
        <v>565</v>
      </c>
      <c r="F30" s="4">
        <v>3</v>
      </c>
      <c r="G30" s="5" t="s">
        <v>589</v>
      </c>
      <c r="H30" s="5" t="str">
        <f>IF(F30&lt;&gt;1,"BMD " &amp;F30&amp;"x lower than lowest non-zero dose","BMD lower than lowest non-zero dose")</f>
        <v>BMD 3x lower than lowest non-zero dose</v>
      </c>
    </row>
    <row r="31" spans="2:8" x14ac:dyDescent="0.2">
      <c r="B31" s="13" t="s">
        <v>853</v>
      </c>
      <c r="C31" s="4" t="s">
        <v>565</v>
      </c>
      <c r="D31" s="4" t="s">
        <v>565</v>
      </c>
      <c r="E31" s="4" t="s">
        <v>565</v>
      </c>
      <c r="F31" s="4">
        <v>3</v>
      </c>
      <c r="G31" s="5" t="s">
        <v>589</v>
      </c>
      <c r="H31" s="5" t="str">
        <f>IF(F31&lt;&gt;1,"BMDL " &amp;F31&amp;"x lower than lowest non-zero dose","BMDL lower than lowest non-zero dose")</f>
        <v>BMDL 3x lower than lowest non-zero dose</v>
      </c>
    </row>
    <row r="32" spans="2:8" x14ac:dyDescent="0.2">
      <c r="B32" s="13" t="s">
        <v>854</v>
      </c>
      <c r="C32" s="4" t="s">
        <v>565</v>
      </c>
      <c r="D32" s="4" t="s">
        <v>565</v>
      </c>
      <c r="E32" s="4" t="s">
        <v>565</v>
      </c>
      <c r="F32" s="4">
        <v>10</v>
      </c>
      <c r="G32" s="77" t="s">
        <v>859</v>
      </c>
      <c r="H32" s="72" t="str">
        <f>IF(F32&lt;&gt;1,"BMD " &amp;F32&amp;"x lower than lowest non-zero dose","BMD lower than lowest non-zero dose")</f>
        <v>BMD 10x lower than lowest non-zero dose</v>
      </c>
    </row>
    <row r="33" spans="2:8" x14ac:dyDescent="0.2">
      <c r="B33" s="13" t="s">
        <v>855</v>
      </c>
      <c r="C33" s="4" t="s">
        <v>565</v>
      </c>
      <c r="D33" s="4" t="s">
        <v>565</v>
      </c>
      <c r="E33" s="4" t="s">
        <v>565</v>
      </c>
      <c r="F33" s="4">
        <v>10</v>
      </c>
      <c r="G33" s="77" t="s">
        <v>859</v>
      </c>
      <c r="H33" s="72" t="str">
        <f>IF(F33&lt;&gt;1,"BMDL " &amp;F33&amp;"x lower than lowest non-zero dose","BMDL lower than lowest non-zero dose")</f>
        <v>BMDL 10x lower than lowest non-zero dose</v>
      </c>
    </row>
    <row r="34" spans="2:8" x14ac:dyDescent="0.2">
      <c r="B34" s="13" t="s">
        <v>599</v>
      </c>
      <c r="C34" s="4" t="s">
        <v>565</v>
      </c>
      <c r="D34" s="4" t="s">
        <v>565</v>
      </c>
      <c r="E34" s="4" t="s">
        <v>565</v>
      </c>
      <c r="F34" s="4">
        <v>2</v>
      </c>
      <c r="G34" s="5" t="s">
        <v>589</v>
      </c>
      <c r="H34" s="5" t="str">
        <f>"|Residual at control| &gt; " &amp;F34</f>
        <v>|Residual at control| &gt; 2</v>
      </c>
    </row>
    <row r="35" spans="2:8" x14ac:dyDescent="0.2">
      <c r="B35" s="13" t="s">
        <v>597</v>
      </c>
      <c r="C35" s="4" t="s">
        <v>566</v>
      </c>
      <c r="D35" s="4" t="s">
        <v>566</v>
      </c>
      <c r="E35" s="4" t="s">
        <v>565</v>
      </c>
      <c r="F35" s="4">
        <v>1.5</v>
      </c>
      <c r="G35" s="5" t="s">
        <v>589</v>
      </c>
      <c r="H35" s="5" t="str">
        <f>"Modeled control response std. dev. &gt;|" &amp;F35 &amp; "| actual response std. dev."</f>
        <v>Modeled control response std. dev. &gt;|1.5| actual response std. dev.</v>
      </c>
    </row>
    <row r="36" spans="2:8" x14ac:dyDescent="0.2">
      <c r="B36" s="13" t="s">
        <v>863</v>
      </c>
      <c r="C36" s="4" t="s">
        <v>565</v>
      </c>
      <c r="D36" s="4" t="s">
        <v>565</v>
      </c>
      <c r="E36" s="4" t="s">
        <v>565</v>
      </c>
      <c r="F36" s="4" t="s">
        <v>864</v>
      </c>
      <c r="G36" s="79" t="s">
        <v>859</v>
      </c>
      <c r="H36" s="78" t="s">
        <v>865</v>
      </c>
    </row>
    <row r="37" spans="2:8" x14ac:dyDescent="0.2"/>
    <row r="38" spans="2:8" x14ac:dyDescent="0.2"/>
    <row r="39" spans="2:8" x14ac:dyDescent="0.2"/>
    <row r="40" spans="2:8" x14ac:dyDescent="0.2"/>
    <row r="41" spans="2:8" x14ac:dyDescent="0.2"/>
    <row r="42" spans="2:8" x14ac:dyDescent="0.2"/>
    <row r="43" spans="2:8" x14ac:dyDescent="0.2"/>
  </sheetData>
  <mergeCells count="8">
    <mergeCell ref="G14:G15"/>
    <mergeCell ref="H14:H15"/>
    <mergeCell ref="B9:D9"/>
    <mergeCell ref="B10:D10"/>
    <mergeCell ref="B11:D11"/>
    <mergeCell ref="C14:E14"/>
    <mergeCell ref="F14:F15"/>
    <mergeCell ref="B14:B15"/>
  </mergeCells>
  <phoneticPr fontId="2" type="noConversion"/>
  <dataValidations count="4">
    <dataValidation type="list" allowBlank="1" showInputMessage="1" showErrorMessage="1" sqref="G16:G36">
      <formula1>Valid_BinType</formula1>
    </dataValidation>
    <dataValidation allowBlank="1" showInputMessage="1" showErrorMessage="1" promptTitle="Test Description" prompt="Cannot be changed; hard coded because used in VBA code" sqref="B14 B16:B35"/>
    <dataValidation type="list" allowBlank="1" showInputMessage="1" showErrorMessage="1" sqref="C16:E35">
      <formula1>Valid_TestOn</formula1>
    </dataValidation>
    <dataValidation type="list" allowBlank="1" showInputMessage="1" showErrorMessage="1" sqref="E9:E10">
      <formula1>"TRUE,FALSE"</formula1>
    </dataValidation>
  </dataValidations>
  <hyperlinks>
    <hyperlink ref="B6" location="Main!A6" tooltip="Returns user to the &quot;Main&quot; worksheet" display="Main Menu"/>
  </hyperlinks>
  <pageMargins left="0.75" right="0.75" top="1" bottom="1" header="0.5" footer="0.5"/>
  <pageSetup orientation="portrait" r:id="rId1"/>
  <headerFooter alignWithMargins="0"/>
  <ignoredErrors>
    <ignoredError sqref="H22:H23 H24:H26 H35" unlockedFormula="1"/>
  </ignoredError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enableFormatConditionsCalculation="0">
    <tabColor indexed="42"/>
  </sheetPr>
  <dimension ref="A1:AA94"/>
  <sheetViews>
    <sheetView zoomScaleNormal="100" workbookViewId="0"/>
  </sheetViews>
  <sheetFormatPr defaultColWidth="0" defaultRowHeight="12.75" zeroHeight="1" x14ac:dyDescent="0.2"/>
  <cols>
    <col min="1" max="1" width="4.28515625" style="6" customWidth="1"/>
    <col min="2" max="2" width="28.5703125" style="6" customWidth="1"/>
    <col min="3" max="4" width="23.7109375" style="39" customWidth="1"/>
    <col min="5" max="5" width="4.28515625" style="39" customWidth="1"/>
    <col min="6" max="10" width="9.140625" style="6" customWidth="1"/>
    <col min="11" max="27" width="0" style="6" hidden="1" customWidth="1"/>
    <col min="28" max="16384" width="9.140625" style="6" hidden="1"/>
  </cols>
  <sheetData>
    <row r="1" spans="2:7" s="1" customFormat="1" ht="11.25" customHeight="1" thickBot="1" x14ac:dyDescent="0.25">
      <c r="C1" s="37"/>
      <c r="D1" s="37"/>
      <c r="E1" s="37"/>
    </row>
    <row r="2" spans="2:7" s="1" customFormat="1" ht="18" customHeight="1" x14ac:dyDescent="0.25">
      <c r="B2" s="10" t="s">
        <v>562</v>
      </c>
      <c r="C2" s="65"/>
    </row>
    <row r="3" spans="2:7" s="1" customFormat="1" ht="11.25" customHeight="1" x14ac:dyDescent="0.2">
      <c r="C3" s="66"/>
    </row>
    <row r="4" spans="2:7" s="1" customFormat="1" ht="12.75" customHeight="1" thickBot="1" x14ac:dyDescent="0.25">
      <c r="B4" s="1" t="s">
        <v>836</v>
      </c>
      <c r="C4" s="67"/>
      <c r="F4" s="124" t="s">
        <v>850</v>
      </c>
      <c r="G4" s="124"/>
    </row>
    <row r="5" spans="2:7" s="11" customFormat="1" ht="11.25" customHeight="1" thickBot="1" x14ac:dyDescent="0.25">
      <c r="C5" s="38"/>
      <c r="D5" s="38"/>
      <c r="E5" s="38"/>
    </row>
    <row r="6" spans="2:7" ht="13.5" thickTop="1" x14ac:dyDescent="0.2">
      <c r="B6" s="23" t="s">
        <v>472</v>
      </c>
    </row>
    <row r="7" spans="2:7" x14ac:dyDescent="0.2"/>
    <row r="8" spans="2:7" x14ac:dyDescent="0.2">
      <c r="B8" s="12" t="s">
        <v>786</v>
      </c>
    </row>
    <row r="9" spans="2:7" ht="12.75" customHeight="1" x14ac:dyDescent="0.2">
      <c r="B9" s="69" t="s">
        <v>839</v>
      </c>
      <c r="C9" s="68" t="b">
        <v>1</v>
      </c>
    </row>
    <row r="10" spans="2:7" ht="12.75" customHeight="1" x14ac:dyDescent="0.2">
      <c r="B10" s="69" t="s">
        <v>840</v>
      </c>
      <c r="C10" s="68" t="b">
        <v>0</v>
      </c>
    </row>
    <row r="11" spans="2:7" x14ac:dyDescent="0.2"/>
    <row r="12" spans="2:7" ht="12.75" customHeight="1" x14ac:dyDescent="0.2">
      <c r="B12" s="12" t="s">
        <v>841</v>
      </c>
      <c r="C12" s="70" t="s">
        <v>842</v>
      </c>
      <c r="D12" s="70" t="s">
        <v>843</v>
      </c>
    </row>
    <row r="13" spans="2:7" ht="12.75" customHeight="1" x14ac:dyDescent="0.2">
      <c r="B13" s="69" t="s">
        <v>837</v>
      </c>
      <c r="C13" s="68" t="b">
        <v>1</v>
      </c>
      <c r="D13" s="68" t="b">
        <v>0</v>
      </c>
    </row>
    <row r="14" spans="2:7" ht="12.75" customHeight="1" x14ac:dyDescent="0.2">
      <c r="B14" s="69" t="s">
        <v>838</v>
      </c>
      <c r="C14" s="68" t="b">
        <v>0</v>
      </c>
      <c r="D14" s="68" t="b">
        <v>0</v>
      </c>
    </row>
    <row r="15" spans="2:7" ht="12.75" customHeight="1" x14ac:dyDescent="0.2"/>
    <row r="16" spans="2:7" ht="12.75" customHeight="1" thickBot="1" x14ac:dyDescent="0.25">
      <c r="B16" s="12" t="s">
        <v>844</v>
      </c>
    </row>
    <row r="17" spans="2:7" ht="26.1" customHeight="1" x14ac:dyDescent="0.2">
      <c r="B17" s="69" t="s">
        <v>775</v>
      </c>
      <c r="C17" s="125" t="s">
        <v>832</v>
      </c>
      <c r="D17" s="125"/>
      <c r="F17" s="17"/>
      <c r="G17" s="18"/>
    </row>
    <row r="18" spans="2:7" ht="12.75" customHeight="1" thickBot="1" x14ac:dyDescent="0.25">
      <c r="B18" s="69" t="s">
        <v>776</v>
      </c>
      <c r="C18" s="106" t="s">
        <v>782</v>
      </c>
      <c r="D18" s="106"/>
      <c r="F18" s="21"/>
      <c r="G18" s="22"/>
    </row>
    <row r="19" spans="2:7" x14ac:dyDescent="0.2"/>
    <row r="20" spans="2:7" ht="13.5" thickBot="1" x14ac:dyDescent="0.25">
      <c r="B20" s="12" t="s">
        <v>845</v>
      </c>
    </row>
    <row r="21" spans="2:7" ht="26.1" customHeight="1" x14ac:dyDescent="0.2">
      <c r="B21" s="69" t="s">
        <v>783</v>
      </c>
      <c r="C21" s="125" t="str">
        <f>ThisWBPath()</f>
        <v>C:\Temp\hawc\bmd test cases</v>
      </c>
      <c r="D21" s="125"/>
      <c r="F21" s="17"/>
      <c r="G21" s="18"/>
    </row>
    <row r="22" spans="2:7" ht="12.75" customHeight="1" x14ac:dyDescent="0.2">
      <c r="B22" s="69" t="s">
        <v>784</v>
      </c>
      <c r="C22" s="106" t="str">
        <f>SmartStudyEndpointName</f>
        <v>1-dichotomous-tc</v>
      </c>
      <c r="D22" s="106"/>
      <c r="F22" s="19"/>
      <c r="G22" s="20"/>
    </row>
    <row r="23" spans="2:7" ht="13.5" customHeight="1" thickBot="1" x14ac:dyDescent="0.25">
      <c r="B23" s="69" t="s">
        <v>785</v>
      </c>
      <c r="C23" s="106" t="s">
        <v>777</v>
      </c>
      <c r="D23" s="106"/>
      <c r="F23" s="21"/>
      <c r="G23" s="22"/>
    </row>
    <row r="24" spans="2:7" x14ac:dyDescent="0.2"/>
    <row r="25" spans="2:7" x14ac:dyDescent="0.2">
      <c r="B25" s="12" t="s">
        <v>846</v>
      </c>
    </row>
    <row r="26" spans="2:7" x14ac:dyDescent="0.2">
      <c r="B26" s="69" t="s">
        <v>847</v>
      </c>
      <c r="C26" s="71">
        <v>5.69</v>
      </c>
    </row>
    <row r="27" spans="2:7" x14ac:dyDescent="0.2">
      <c r="B27" s="69" t="s">
        <v>848</v>
      </c>
      <c r="C27" s="71">
        <v>3</v>
      </c>
    </row>
    <row r="28" spans="2:7" x14ac:dyDescent="0.2"/>
    <row r="29" spans="2:7" x14ac:dyDescent="0.2"/>
    <row r="30" spans="2:7" x14ac:dyDescent="0.2"/>
    <row r="31" spans="2:7" x14ac:dyDescent="0.2"/>
    <row r="32" spans="2:7" x14ac:dyDescent="0.2"/>
    <row r="33" x14ac:dyDescent="0.2"/>
    <row r="34" x14ac:dyDescent="0.2"/>
    <row r="35" x14ac:dyDescent="0.2"/>
    <row r="36" hidden="1" x14ac:dyDescent="0.2"/>
    <row r="37" hidden="1" x14ac:dyDescent="0.2"/>
    <row r="38" hidden="1" x14ac:dyDescent="0.2"/>
    <row r="39" hidden="1" x14ac:dyDescent="0.2"/>
    <row r="40" hidden="1" x14ac:dyDescent="0.2"/>
    <row r="41" hidden="1" x14ac:dyDescent="0.2"/>
    <row r="42" hidden="1" x14ac:dyDescent="0.2"/>
    <row r="43" hidden="1" x14ac:dyDescent="0.2"/>
    <row r="44" hidden="1" x14ac:dyDescent="0.2"/>
    <row r="45" hidden="1" x14ac:dyDescent="0.2"/>
    <row r="46" hidden="1" x14ac:dyDescent="0.2"/>
    <row r="47" hidden="1" x14ac:dyDescent="0.2"/>
    <row r="48" hidden="1" x14ac:dyDescent="0.2"/>
    <row r="49" hidden="1" x14ac:dyDescent="0.2"/>
    <row r="50" hidden="1" x14ac:dyDescent="0.2"/>
    <row r="51" hidden="1" x14ac:dyDescent="0.2"/>
    <row r="52" hidden="1" x14ac:dyDescent="0.2"/>
    <row r="53" hidden="1" x14ac:dyDescent="0.2"/>
    <row r="54" hidden="1" x14ac:dyDescent="0.2"/>
    <row r="55" hidden="1" x14ac:dyDescent="0.2"/>
    <row r="56" hidden="1" x14ac:dyDescent="0.2"/>
    <row r="57" hidden="1" x14ac:dyDescent="0.2"/>
    <row r="58" hidden="1" x14ac:dyDescent="0.2"/>
    <row r="59" hidden="1" x14ac:dyDescent="0.2"/>
    <row r="60" hidden="1" x14ac:dyDescent="0.2"/>
    <row r="61" hidden="1" x14ac:dyDescent="0.2"/>
    <row r="62" hidden="1" x14ac:dyDescent="0.2"/>
    <row r="63" hidden="1" x14ac:dyDescent="0.2"/>
    <row r="64" hidden="1" x14ac:dyDescent="0.2"/>
    <row r="65" hidden="1" x14ac:dyDescent="0.2"/>
    <row r="66" hidden="1" x14ac:dyDescent="0.2"/>
    <row r="67" hidden="1" x14ac:dyDescent="0.2"/>
    <row r="68" hidden="1" x14ac:dyDescent="0.2"/>
    <row r="69" hidden="1" x14ac:dyDescent="0.2"/>
    <row r="70" hidden="1" x14ac:dyDescent="0.2"/>
    <row r="71" hidden="1" x14ac:dyDescent="0.2"/>
    <row r="72" hidden="1" x14ac:dyDescent="0.2"/>
    <row r="73" hidden="1" x14ac:dyDescent="0.2"/>
    <row r="74" hidden="1" x14ac:dyDescent="0.2"/>
    <row r="75" hidden="1" x14ac:dyDescent="0.2"/>
    <row r="76" hidden="1" x14ac:dyDescent="0.2"/>
    <row r="77" hidden="1" x14ac:dyDescent="0.2"/>
    <row r="78" hidden="1" x14ac:dyDescent="0.2"/>
    <row r="79" hidden="1" x14ac:dyDescent="0.2"/>
    <row r="80" hidden="1" x14ac:dyDescent="0.2"/>
    <row r="81" hidden="1" x14ac:dyDescent="0.2"/>
    <row r="82" hidden="1" x14ac:dyDescent="0.2"/>
    <row r="83" hidden="1" x14ac:dyDescent="0.2"/>
    <row r="84" hidden="1" x14ac:dyDescent="0.2"/>
    <row r="85" hidden="1" x14ac:dyDescent="0.2"/>
    <row r="86" hidden="1" x14ac:dyDescent="0.2"/>
    <row r="87" hidden="1" x14ac:dyDescent="0.2"/>
    <row r="88" hidden="1" x14ac:dyDescent="0.2"/>
    <row r="89" hidden="1" x14ac:dyDescent="0.2"/>
    <row r="90" hidden="1" x14ac:dyDescent="0.2"/>
    <row r="91" hidden="1" x14ac:dyDescent="0.2"/>
    <row r="92" hidden="1" x14ac:dyDescent="0.2"/>
    <row r="93" hidden="1" x14ac:dyDescent="0.2"/>
    <row r="94" hidden="1" x14ac:dyDescent="0.2"/>
  </sheetData>
  <sortState ref="B10:J17">
    <sortCondition ref="D9"/>
  </sortState>
  <mergeCells count="6">
    <mergeCell ref="F4:G4"/>
    <mergeCell ref="C17:D17"/>
    <mergeCell ref="C23:D23"/>
    <mergeCell ref="C18:D18"/>
    <mergeCell ref="C21:D21"/>
    <mergeCell ref="C22:D22"/>
  </mergeCells>
  <phoneticPr fontId="2" type="noConversion"/>
  <dataValidations count="3">
    <dataValidation type="list" allowBlank="1" showInputMessage="1" showErrorMessage="1" sqref="C23">
      <formula1>Valid_WrdExt</formula1>
    </dataValidation>
    <dataValidation type="list" allowBlank="1" showInputMessage="1" showErrorMessage="1" sqref="C9:C10 C13:E14">
      <formula1>Valid_Boolean</formula1>
    </dataValidation>
    <dataValidation type="decimal" allowBlank="1" showInputMessage="1" showErrorMessage="1" sqref="C26:C27">
      <formula1>0.1</formula1>
      <formula2>10</formula2>
    </dataValidation>
  </dataValidations>
  <hyperlinks>
    <hyperlink ref="B6" location="Main!A6" tooltip="Returns user to the &quot;Main&quot; worksheet" display="Main Menu"/>
    <hyperlink ref="F4" location="Results!A1" display="Back to Results"/>
  </hyperlinks>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5380" r:id="rId4" name="Button 20">
              <controlPr defaultSize="0" print="0" autoFill="0" autoPict="0" macro="[0]!PrintWRDfromWiz">
                <anchor moveWithCells="1" sizeWithCells="1">
                  <from>
                    <xdr:col>2</xdr:col>
                    <xdr:colOff>66675</xdr:colOff>
                    <xdr:row>1</xdr:row>
                    <xdr:rowOff>57150</xdr:rowOff>
                  </from>
                  <to>
                    <xdr:col>2</xdr:col>
                    <xdr:colOff>1514475</xdr:colOff>
                    <xdr:row>3</xdr:row>
                    <xdr:rowOff>95250</xdr:rowOff>
                  </to>
                </anchor>
              </controlPr>
            </control>
          </mc:Choice>
        </mc:AlternateContent>
        <mc:AlternateContent xmlns:mc="http://schemas.openxmlformats.org/markup-compatibility/2006">
          <mc:Choice Requires="x14">
            <control shapeId="15382" r:id="rId5" name="Button 22">
              <controlPr defaultSize="0" print="0" autoFill="0" autoPict="0" macro="[0]!GetFolderTemplate">
                <anchor moveWithCells="1" sizeWithCells="1">
                  <from>
                    <xdr:col>5</xdr:col>
                    <xdr:colOff>85725</xdr:colOff>
                    <xdr:row>16</xdr:row>
                    <xdr:rowOff>66675</xdr:rowOff>
                  </from>
                  <to>
                    <xdr:col>6</xdr:col>
                    <xdr:colOff>533400</xdr:colOff>
                    <xdr:row>17</xdr:row>
                    <xdr:rowOff>104775</xdr:rowOff>
                  </to>
                </anchor>
              </controlPr>
            </control>
          </mc:Choice>
        </mc:AlternateContent>
        <mc:AlternateContent xmlns:mc="http://schemas.openxmlformats.org/markup-compatibility/2006">
          <mc:Choice Requires="x14">
            <control shapeId="15383" r:id="rId6" name="Button 23">
              <controlPr defaultSize="0" print="0" autoFill="0" autoPict="0" macro="[0]!GetFolderReport">
                <anchor moveWithCells="1" sizeWithCells="1">
                  <from>
                    <xdr:col>5</xdr:col>
                    <xdr:colOff>85725</xdr:colOff>
                    <xdr:row>20</xdr:row>
                    <xdr:rowOff>133350</xdr:rowOff>
                  </from>
                  <to>
                    <xdr:col>6</xdr:col>
                    <xdr:colOff>552450</xdr:colOff>
                    <xdr:row>22</xdr:row>
                    <xdr:rowOff>38100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enableFormatConditionsCalculation="0">
    <tabColor indexed="44"/>
  </sheetPr>
  <dimension ref="A1:AU194"/>
  <sheetViews>
    <sheetView topLeftCell="I1" zoomScaleNormal="100" workbookViewId="0">
      <selection activeCell="O18" sqref="O18"/>
    </sheetView>
  </sheetViews>
  <sheetFormatPr defaultColWidth="0" defaultRowHeight="12.75" zeroHeight="1" x14ac:dyDescent="0.2"/>
  <cols>
    <col min="1" max="1" width="4.28515625" style="6" customWidth="1"/>
    <col min="2" max="2" width="39.85546875" style="6" customWidth="1"/>
    <col min="3" max="3" width="17" style="6" bestFit="1" customWidth="1"/>
    <col min="4" max="4" width="4.28515625" style="6" customWidth="1"/>
    <col min="5" max="7" width="11.42578125" style="6" customWidth="1"/>
    <col min="8" max="8" width="4.28515625" style="6" customWidth="1"/>
    <col min="9" max="9" width="28.85546875" style="6" bestFit="1" customWidth="1"/>
    <col min="10" max="10" width="11.140625" style="6" customWidth="1"/>
    <col min="11" max="11" width="4.28515625" style="6" customWidth="1"/>
    <col min="12" max="12" width="30.140625" style="6" customWidth="1"/>
    <col min="13" max="13" width="21.140625" style="6" customWidth="1"/>
    <col min="14" max="14" width="13.85546875" style="6" customWidth="1"/>
    <col min="15" max="15" width="27" style="6" customWidth="1"/>
    <col min="16" max="16" width="11.5703125" style="6" customWidth="1"/>
    <col min="17" max="17" width="10.85546875" style="6" customWidth="1"/>
    <col min="18" max="18" width="9.140625" style="6" customWidth="1"/>
    <col min="19" max="19" width="4.28515625" style="6" customWidth="1"/>
    <col min="20" max="20" width="17.42578125" style="6" bestFit="1" customWidth="1"/>
    <col min="21" max="27" width="10.5703125" style="6" customWidth="1"/>
    <col min="28" max="28" width="14.140625" style="6" customWidth="1"/>
    <col min="29" max="30" width="12.140625" style="6" customWidth="1"/>
    <col min="31" max="38" width="10.5703125" style="6" customWidth="1"/>
    <col min="39" max="39" width="4.28515625" style="6" customWidth="1"/>
    <col min="40" max="40" width="17" style="6" bestFit="1" customWidth="1"/>
    <col min="41" max="41" width="31" style="6" customWidth="1"/>
    <col min="42" max="42" width="10.5703125" style="6" customWidth="1"/>
    <col min="43" max="46" width="9.140625" style="6" customWidth="1"/>
    <col min="47" max="47" width="0" style="6" hidden="1" customWidth="1"/>
    <col min="48" max="16384" width="9.140625" style="6" hidden="1"/>
  </cols>
  <sheetData>
    <row r="1" spans="2:41" s="1" customFormat="1" ht="11.25" customHeight="1" x14ac:dyDescent="0.2"/>
    <row r="2" spans="2:41" s="1" customFormat="1" ht="18" x14ac:dyDescent="0.25">
      <c r="B2" s="10" t="s">
        <v>562</v>
      </c>
    </row>
    <row r="3" spans="2:41" s="1" customFormat="1" ht="11.25" customHeight="1" x14ac:dyDescent="0.2"/>
    <row r="4" spans="2:41" s="1" customFormat="1" ht="12.75" customHeight="1" x14ac:dyDescent="0.2">
      <c r="B4" s="1" t="s">
        <v>612</v>
      </c>
    </row>
    <row r="5" spans="2:41" s="11" customFormat="1" ht="11.25" customHeight="1" thickBot="1" x14ac:dyDescent="0.25"/>
    <row r="6" spans="2:41" ht="13.5" thickTop="1" x14ac:dyDescent="0.2"/>
    <row r="7" spans="2:41" x14ac:dyDescent="0.2">
      <c r="B7" s="12" t="s">
        <v>668</v>
      </c>
      <c r="E7" s="12" t="s">
        <v>648</v>
      </c>
      <c r="F7" s="12"/>
      <c r="I7" s="12" t="s">
        <v>671</v>
      </c>
      <c r="L7" s="12" t="s">
        <v>669</v>
      </c>
      <c r="T7" s="12" t="s">
        <v>677</v>
      </c>
      <c r="AN7" s="12" t="s">
        <v>695</v>
      </c>
    </row>
    <row r="8" spans="2:41" ht="38.25" x14ac:dyDescent="0.2">
      <c r="B8" s="9" t="s">
        <v>69</v>
      </c>
      <c r="C8" s="9" t="s">
        <v>676</v>
      </c>
      <c r="E8" s="9" t="s">
        <v>48</v>
      </c>
      <c r="F8" s="58" t="s">
        <v>651</v>
      </c>
      <c r="G8" s="58" t="s">
        <v>823</v>
      </c>
      <c r="I8" s="9" t="s">
        <v>44</v>
      </c>
      <c r="J8" s="9" t="s">
        <v>674</v>
      </c>
      <c r="L8" s="9" t="s">
        <v>665</v>
      </c>
      <c r="M8" s="9" t="s">
        <v>556</v>
      </c>
      <c r="N8" s="9" t="s">
        <v>666</v>
      </c>
      <c r="O8" s="9" t="s">
        <v>667</v>
      </c>
      <c r="P8" s="9" t="s">
        <v>664</v>
      </c>
      <c r="Q8" s="9" t="s">
        <v>663</v>
      </c>
      <c r="R8" s="9" t="s">
        <v>680</v>
      </c>
      <c r="T8" s="9" t="s">
        <v>772</v>
      </c>
      <c r="U8" s="9" t="s">
        <v>401</v>
      </c>
      <c r="V8" s="9" t="s">
        <v>48</v>
      </c>
      <c r="W8" s="73" t="s">
        <v>856</v>
      </c>
      <c r="X8" s="9" t="s">
        <v>68</v>
      </c>
      <c r="Y8" s="9" t="s">
        <v>50</v>
      </c>
      <c r="Z8" s="9" t="s">
        <v>47</v>
      </c>
      <c r="AA8" s="9" t="s">
        <v>567</v>
      </c>
      <c r="AB8" s="9" t="s">
        <v>755</v>
      </c>
      <c r="AC8" s="9" t="s">
        <v>781</v>
      </c>
      <c r="AD8" s="54" t="s">
        <v>819</v>
      </c>
      <c r="AE8" s="9" t="s">
        <v>322</v>
      </c>
      <c r="AF8" s="9" t="s">
        <v>57</v>
      </c>
      <c r="AG8" s="9" t="s">
        <v>59</v>
      </c>
      <c r="AH8" s="9" t="s">
        <v>61</v>
      </c>
      <c r="AI8" s="9" t="s">
        <v>60</v>
      </c>
      <c r="AJ8" s="9" t="s">
        <v>564</v>
      </c>
      <c r="AK8" s="9" t="s">
        <v>471</v>
      </c>
      <c r="AL8" s="9" t="s">
        <v>674</v>
      </c>
      <c r="AN8" s="9" t="s">
        <v>68</v>
      </c>
      <c r="AO8" s="9" t="s">
        <v>696</v>
      </c>
    </row>
    <row r="9" spans="2:41" x14ac:dyDescent="0.2">
      <c r="B9" s="8" t="s">
        <v>690</v>
      </c>
      <c r="C9" s="5">
        <v>0.7</v>
      </c>
      <c r="E9" s="5" t="s">
        <v>167</v>
      </c>
      <c r="F9" s="57" t="s">
        <v>649</v>
      </c>
      <c r="G9" s="5">
        <v>1</v>
      </c>
      <c r="I9" s="5" t="s">
        <v>670</v>
      </c>
      <c r="J9" s="5" t="s">
        <v>672</v>
      </c>
      <c r="L9" s="5" t="s">
        <v>550</v>
      </c>
      <c r="M9" s="5" t="s">
        <v>485</v>
      </c>
      <c r="N9" s="5" t="s">
        <v>554</v>
      </c>
      <c r="O9" s="5" t="s">
        <v>553</v>
      </c>
      <c r="P9" s="5" t="b">
        <v>0</v>
      </c>
      <c r="Q9" s="5">
        <v>50</v>
      </c>
      <c r="R9" s="5" t="s">
        <v>681</v>
      </c>
      <c r="T9" s="5" t="s">
        <v>766</v>
      </c>
      <c r="U9" s="5" t="s">
        <v>37</v>
      </c>
      <c r="V9" s="5" t="s">
        <v>167</v>
      </c>
      <c r="W9" s="72" t="s">
        <v>861</v>
      </c>
      <c r="X9" s="5" t="s">
        <v>404</v>
      </c>
      <c r="Y9" s="5" t="s">
        <v>64</v>
      </c>
      <c r="Z9" s="5" t="s">
        <v>62</v>
      </c>
      <c r="AA9" s="5" t="s">
        <v>574</v>
      </c>
      <c r="AB9" s="5" t="s">
        <v>769</v>
      </c>
      <c r="AC9" s="5" t="s">
        <v>778</v>
      </c>
      <c r="AD9" s="53" t="s">
        <v>821</v>
      </c>
      <c r="AE9" s="5" t="s">
        <v>391</v>
      </c>
      <c r="AF9" s="5" t="s">
        <v>63</v>
      </c>
      <c r="AG9" s="5" t="s">
        <v>66</v>
      </c>
      <c r="AH9" s="5" t="s">
        <v>67</v>
      </c>
      <c r="AI9" s="5" t="s">
        <v>65</v>
      </c>
      <c r="AJ9" s="5" t="s">
        <v>565</v>
      </c>
      <c r="AK9" s="5" t="b">
        <v>1</v>
      </c>
      <c r="AL9" s="5" t="s">
        <v>672</v>
      </c>
      <c r="AN9" s="5" t="s">
        <v>697</v>
      </c>
      <c r="AO9" s="5" t="s">
        <v>698</v>
      </c>
    </row>
    <row r="10" spans="2:41" x14ac:dyDescent="0.2">
      <c r="B10" s="8" t="s">
        <v>530</v>
      </c>
      <c r="C10" s="5" t="b">
        <v>1</v>
      </c>
      <c r="E10" s="5" t="s">
        <v>423</v>
      </c>
      <c r="F10" s="57" t="s">
        <v>822</v>
      </c>
      <c r="G10" s="56">
        <v>100</v>
      </c>
      <c r="I10" s="5" t="s">
        <v>528</v>
      </c>
      <c r="J10" s="5" t="s">
        <v>672</v>
      </c>
      <c r="L10" s="59" t="s">
        <v>551</v>
      </c>
      <c r="M10" s="59" t="s">
        <v>555</v>
      </c>
      <c r="N10" s="59" t="s">
        <v>554</v>
      </c>
      <c r="O10" s="59" t="s">
        <v>552</v>
      </c>
      <c r="P10" s="59" t="b">
        <v>1</v>
      </c>
      <c r="Q10" s="59">
        <v>250</v>
      </c>
      <c r="R10" s="59" t="s">
        <v>541</v>
      </c>
      <c r="T10" s="5" t="s">
        <v>767</v>
      </c>
      <c r="U10" s="5" t="s">
        <v>607</v>
      </c>
      <c r="V10" s="5" t="s">
        <v>423</v>
      </c>
      <c r="W10" s="72" t="s">
        <v>862</v>
      </c>
      <c r="X10" s="5" t="s">
        <v>405</v>
      </c>
      <c r="Y10" s="5" t="s">
        <v>419</v>
      </c>
      <c r="Z10" s="5" t="s">
        <v>421</v>
      </c>
      <c r="AA10" s="5" t="s">
        <v>859</v>
      </c>
      <c r="AB10" s="5" t="s">
        <v>770</v>
      </c>
      <c r="AC10" s="5" t="s">
        <v>779</v>
      </c>
      <c r="AD10" s="53" t="s">
        <v>820</v>
      </c>
      <c r="AE10" s="5" t="s">
        <v>418</v>
      </c>
      <c r="AF10" s="5" t="s">
        <v>426</v>
      </c>
      <c r="AG10" s="5" t="s">
        <v>466</v>
      </c>
      <c r="AH10" s="5" t="s">
        <v>429</v>
      </c>
      <c r="AI10" s="5" t="s">
        <v>427</v>
      </c>
      <c r="AJ10" s="5" t="s">
        <v>566</v>
      </c>
      <c r="AK10" s="5" t="b">
        <v>0</v>
      </c>
      <c r="AL10" s="5" t="s">
        <v>673</v>
      </c>
      <c r="AN10" s="5" t="s">
        <v>699</v>
      </c>
      <c r="AO10" s="5" t="s">
        <v>702</v>
      </c>
    </row>
    <row r="11" spans="2:41" x14ac:dyDescent="0.2">
      <c r="B11" s="8" t="s">
        <v>613</v>
      </c>
      <c r="C11" s="5" t="s">
        <v>531</v>
      </c>
      <c r="E11" s="5" t="s">
        <v>424</v>
      </c>
      <c r="F11" s="57" t="s">
        <v>650</v>
      </c>
      <c r="G11" s="5">
        <v>1</v>
      </c>
      <c r="I11" s="5" t="s">
        <v>8</v>
      </c>
      <c r="J11" s="5" t="s">
        <v>672</v>
      </c>
      <c r="L11" s="62" t="s">
        <v>829</v>
      </c>
      <c r="M11" s="62" t="s">
        <v>824</v>
      </c>
      <c r="N11" s="62" t="s">
        <v>554</v>
      </c>
      <c r="O11" s="62" t="s">
        <v>825</v>
      </c>
      <c r="P11" s="62" t="b">
        <v>1</v>
      </c>
      <c r="Q11" s="62">
        <v>250</v>
      </c>
      <c r="R11" s="62" t="s">
        <v>541</v>
      </c>
      <c r="T11" s="5" t="s">
        <v>768</v>
      </c>
      <c r="U11" s="5" t="s">
        <v>53</v>
      </c>
      <c r="V11" s="5" t="s">
        <v>424</v>
      </c>
      <c r="W11" s="72" t="s">
        <v>857</v>
      </c>
      <c r="X11" s="5" t="s">
        <v>592</v>
      </c>
      <c r="Y11" s="5" t="s">
        <v>420</v>
      </c>
      <c r="Z11" s="5" t="s">
        <v>422</v>
      </c>
      <c r="AA11" s="5" t="s">
        <v>589</v>
      </c>
      <c r="AB11" s="5" t="s">
        <v>771</v>
      </c>
      <c r="AC11" s="5" t="s">
        <v>780</v>
      </c>
      <c r="AN11" s="5" t="s">
        <v>700</v>
      </c>
      <c r="AO11" s="5" t="s">
        <v>703</v>
      </c>
    </row>
    <row r="12" spans="2:41" x14ac:dyDescent="0.2">
      <c r="B12" s="8" t="s">
        <v>568</v>
      </c>
      <c r="C12" s="5" t="b">
        <v>1</v>
      </c>
      <c r="E12" s="5" t="s">
        <v>425</v>
      </c>
      <c r="F12" s="57" t="s">
        <v>425</v>
      </c>
      <c r="G12" s="5">
        <v>1</v>
      </c>
      <c r="I12" s="5" t="s">
        <v>529</v>
      </c>
      <c r="J12" s="5" t="s">
        <v>672</v>
      </c>
      <c r="L12" s="80" t="s">
        <v>830</v>
      </c>
      <c r="M12" s="80" t="s">
        <v>824</v>
      </c>
      <c r="N12" s="80" t="s">
        <v>554</v>
      </c>
      <c r="O12" s="80" t="s">
        <v>831</v>
      </c>
      <c r="P12" s="80" t="b">
        <v>1</v>
      </c>
      <c r="Q12" s="80">
        <v>250</v>
      </c>
      <c r="R12" s="80" t="s">
        <v>541</v>
      </c>
      <c r="T12" s="5" t="s">
        <v>793</v>
      </c>
      <c r="U12" s="5" t="s">
        <v>41</v>
      </c>
      <c r="V12" s="5" t="s">
        <v>425</v>
      </c>
      <c r="AN12" s="5" t="s">
        <v>701</v>
      </c>
      <c r="AO12" s="5" t="s">
        <v>704</v>
      </c>
    </row>
    <row r="13" spans="2:41" x14ac:dyDescent="0.2">
      <c r="B13" s="60" t="s">
        <v>828</v>
      </c>
      <c r="C13" s="53" t="s">
        <v>820</v>
      </c>
      <c r="E13" s="5" t="s">
        <v>63</v>
      </c>
      <c r="F13" s="57" t="s">
        <v>760</v>
      </c>
      <c r="G13" s="5">
        <v>100</v>
      </c>
      <c r="I13" s="5" t="s">
        <v>320</v>
      </c>
      <c r="J13" s="5" t="s">
        <v>673</v>
      </c>
      <c r="L13" s="59" t="s">
        <v>866</v>
      </c>
      <c r="M13" s="59" t="s">
        <v>867</v>
      </c>
      <c r="N13" s="5" t="s">
        <v>869</v>
      </c>
      <c r="O13" s="80" t="s">
        <v>868</v>
      </c>
      <c r="P13" s="5" t="b">
        <v>1</v>
      </c>
      <c r="Q13" s="5">
        <v>250</v>
      </c>
      <c r="R13" s="59" t="s">
        <v>541</v>
      </c>
      <c r="T13" s="5" t="s">
        <v>794</v>
      </c>
      <c r="U13" s="5" t="s">
        <v>608</v>
      </c>
      <c r="V13" s="5" t="s">
        <v>63</v>
      </c>
      <c r="AN13" s="5" t="s">
        <v>21</v>
      </c>
      <c r="AO13" s="5" t="s">
        <v>709</v>
      </c>
    </row>
    <row r="14" spans="2:41" x14ac:dyDescent="0.2">
      <c r="B14" s="49" t="s">
        <v>817</v>
      </c>
      <c r="C14" s="48" t="s">
        <v>818</v>
      </c>
      <c r="E14" s="5" t="s">
        <v>426</v>
      </c>
      <c r="F14" s="57" t="s">
        <v>761</v>
      </c>
      <c r="G14" s="5">
        <v>100</v>
      </c>
      <c r="I14" s="5" t="s">
        <v>37</v>
      </c>
      <c r="J14" s="5" t="s">
        <v>672</v>
      </c>
      <c r="T14" s="5" t="s">
        <v>795</v>
      </c>
      <c r="U14" s="5" t="s">
        <v>609</v>
      </c>
      <c r="AN14" s="5" t="s">
        <v>22</v>
      </c>
      <c r="AO14" s="5" t="s">
        <v>708</v>
      </c>
    </row>
    <row r="15" spans="2:41" x14ac:dyDescent="0.2">
      <c r="B15" s="8" t="s">
        <v>753</v>
      </c>
      <c r="C15" s="5" t="b">
        <v>1</v>
      </c>
      <c r="I15" s="5" t="s">
        <v>38</v>
      </c>
      <c r="J15" s="5" t="s">
        <v>672</v>
      </c>
      <c r="L15" s="8" t="s">
        <v>556</v>
      </c>
      <c r="M15" s="7" t="str">
        <f>VLOOKUP(BMDSversion,Tbl_BMDSversion,2,FALSE)</f>
        <v>C:\USEPA\BMDS231\</v>
      </c>
      <c r="AN15" s="5" t="s">
        <v>23</v>
      </c>
      <c r="AO15" s="5" t="s">
        <v>707</v>
      </c>
    </row>
    <row r="16" spans="2:41" ht="25.5" x14ac:dyDescent="0.2">
      <c r="B16" s="8" t="s">
        <v>754</v>
      </c>
      <c r="C16" s="5">
        <v>120</v>
      </c>
      <c r="E16" s="8" t="s">
        <v>756</v>
      </c>
      <c r="F16" s="55" t="s">
        <v>423</v>
      </c>
      <c r="I16" s="5" t="s">
        <v>39</v>
      </c>
      <c r="J16" s="5" t="s">
        <v>672</v>
      </c>
      <c r="L16" s="8" t="s">
        <v>666</v>
      </c>
      <c r="M16" s="7" t="str">
        <f>VLOOKUP(BMDSversion,Tbl_BMDSversion,3,FALSE)</f>
        <v>BMDS231.exe</v>
      </c>
      <c r="AN16" s="5" t="s">
        <v>24</v>
      </c>
      <c r="AO16" s="5" t="s">
        <v>706</v>
      </c>
    </row>
    <row r="17" spans="2:41" ht="25.5" x14ac:dyDescent="0.2">
      <c r="B17" s="8" t="s">
        <v>762</v>
      </c>
      <c r="C17" s="5" t="b">
        <v>0</v>
      </c>
      <c r="E17" s="8" t="s">
        <v>759</v>
      </c>
      <c r="F17" s="7">
        <v>0.1</v>
      </c>
      <c r="I17" s="5" t="s">
        <v>40</v>
      </c>
      <c r="J17" s="5" t="s">
        <v>672</v>
      </c>
      <c r="L17" s="8" t="s">
        <v>667</v>
      </c>
      <c r="M17" s="7" t="str">
        <f>VLOOKUP(BMDSversion,Tbl_BMDSversion,4,FALSE)</f>
        <v>BMDS 2.3.1 [Build: 09/27/2012]</v>
      </c>
      <c r="AN17" s="5" t="s">
        <v>25</v>
      </c>
      <c r="AO17" s="5" t="s">
        <v>705</v>
      </c>
    </row>
    <row r="18" spans="2:41" ht="25.5" x14ac:dyDescent="0.2">
      <c r="B18" s="8" t="s">
        <v>763</v>
      </c>
      <c r="C18" s="5" t="b">
        <v>1</v>
      </c>
      <c r="E18" s="8" t="s">
        <v>758</v>
      </c>
      <c r="F18" s="7" t="str">
        <f>VLOOKUP(Summary_ThisBMR,Tbl_BMRFN,2,FALSE)</f>
        <v>RD</v>
      </c>
      <c r="I18" s="5" t="s">
        <v>41</v>
      </c>
      <c r="J18" s="5" t="s">
        <v>672</v>
      </c>
      <c r="L18" s="8" t="s">
        <v>664</v>
      </c>
      <c r="M18" s="7" t="b">
        <f>VLOOKUP(BMDSversion,Tbl_BMDSversion,5,FALSE)</f>
        <v>1</v>
      </c>
      <c r="AN18" s="5" t="s">
        <v>33</v>
      </c>
      <c r="AO18" s="5" t="s">
        <v>710</v>
      </c>
    </row>
    <row r="19" spans="2:41" x14ac:dyDescent="0.2">
      <c r="B19" s="8" t="s">
        <v>787</v>
      </c>
      <c r="C19" s="5" t="b">
        <v>1</v>
      </c>
      <c r="E19" s="8" t="s">
        <v>757</v>
      </c>
      <c r="F19" s="7" t="str">
        <f>IF(OR(Summary_ThisBMR="Std. Dev.",Summary_ThisBMR="Point",Summary_ThisBMR="Abs. Dev."),Summary_ThisBMRF&amp;Summary_BMRShorthand,Summary_ThisBMRF*100&amp;Summary_BMRShorthand)</f>
        <v>10RD</v>
      </c>
      <c r="I19" s="5" t="s">
        <v>53</v>
      </c>
      <c r="J19" s="5" t="s">
        <v>672</v>
      </c>
      <c r="L19" s="8" t="s">
        <v>663</v>
      </c>
      <c r="M19" s="7">
        <f>VLOOKUP(BMDSversion,Tbl_BMDSversion,6,FALSE)</f>
        <v>250</v>
      </c>
      <c r="AN19" s="5" t="s">
        <v>26</v>
      </c>
      <c r="AO19" s="5" t="s">
        <v>715</v>
      </c>
    </row>
    <row r="20" spans="2:41" ht="25.5" x14ac:dyDescent="0.2">
      <c r="B20" s="8" t="s">
        <v>788</v>
      </c>
      <c r="C20" s="5" t="b">
        <v>1</v>
      </c>
      <c r="D20" s="6" t="s">
        <v>541</v>
      </c>
      <c r="I20" s="5" t="s">
        <v>54</v>
      </c>
      <c r="J20" s="5" t="s">
        <v>672</v>
      </c>
      <c r="L20" s="8" t="s">
        <v>680</v>
      </c>
      <c r="M20" s="7" t="str">
        <f>VLOOKUP(BMDSversion,Tbl_BMDSversion,7,FALSE)</f>
        <v xml:space="preserve"> </v>
      </c>
      <c r="AN20" s="5" t="s">
        <v>27</v>
      </c>
      <c r="AO20" s="5" t="s">
        <v>711</v>
      </c>
    </row>
    <row r="21" spans="2:41" x14ac:dyDescent="0.2">
      <c r="B21" s="8" t="s">
        <v>797</v>
      </c>
      <c r="C21" s="5" t="b">
        <v>0</v>
      </c>
      <c r="I21" s="5" t="s">
        <v>58</v>
      </c>
      <c r="J21" s="5" t="s">
        <v>673</v>
      </c>
      <c r="L21" s="8" t="s">
        <v>792</v>
      </c>
      <c r="M21" s="7" t="str">
        <f>BMD_ID&amp;"-"&amp;StudyYear&amp;"-"&amp;Endpoint</f>
        <v>1-dichotomous-tc</v>
      </c>
      <c r="AN21" s="5" t="s">
        <v>30</v>
      </c>
      <c r="AO21" s="5" t="s">
        <v>716</v>
      </c>
    </row>
    <row r="22" spans="2:41" x14ac:dyDescent="0.2">
      <c r="B22" s="64" t="s">
        <v>834</v>
      </c>
      <c r="C22" s="63" t="s">
        <v>835</v>
      </c>
      <c r="I22" s="5" t="s">
        <v>80</v>
      </c>
      <c r="J22" s="5" t="s">
        <v>673</v>
      </c>
      <c r="L22" s="8" t="s">
        <v>791</v>
      </c>
      <c r="M22" s="7" t="str">
        <f>SUBSTITUTE(SUBSTITUTE(SUBSTITUTE(SUBSTITUTE(SUBSTITUTE(SUBSTITUTE(SUBSTITUTE(SUBSTITUTE(SUBSTITUTE(SUBSTITUTE(SUBSTITUTE(SUBSTITUTE(M21," ",BMDSWordSpace),"&amp;","+"),".",""),"/","-"),"\","-"),":",";"),"&lt;","("),"&gt;",")"),"|",";"),"*","x"),"?","Q"),"""",CHAR(39))</f>
        <v>1-dichotomous-tc</v>
      </c>
      <c r="AN22" s="5" t="s">
        <v>28</v>
      </c>
      <c r="AO22" s="5" t="s">
        <v>712</v>
      </c>
    </row>
    <row r="23" spans="2:41" x14ac:dyDescent="0.2">
      <c r="B23" s="60" t="s">
        <v>826</v>
      </c>
      <c r="C23" s="59" t="b">
        <v>1</v>
      </c>
      <c r="I23" s="5" t="s">
        <v>59</v>
      </c>
      <c r="J23" s="5" t="s">
        <v>673</v>
      </c>
      <c r="AN23" s="5" t="s">
        <v>31</v>
      </c>
      <c r="AO23" s="5" t="s">
        <v>714</v>
      </c>
    </row>
    <row r="24" spans="2:41" x14ac:dyDescent="0.2">
      <c r="B24" s="60" t="s">
        <v>827</v>
      </c>
      <c r="C24" s="59">
        <v>3</v>
      </c>
      <c r="I24" s="5" t="s">
        <v>321</v>
      </c>
      <c r="J24" s="5" t="s">
        <v>673</v>
      </c>
      <c r="AN24" s="5" t="s">
        <v>407</v>
      </c>
      <c r="AO24" s="5" t="s">
        <v>717</v>
      </c>
    </row>
    <row r="25" spans="2:41" x14ac:dyDescent="0.2">
      <c r="B25" s="64" t="s">
        <v>833</v>
      </c>
      <c r="C25" s="63" t="b">
        <v>0</v>
      </c>
      <c r="I25" s="5" t="s">
        <v>322</v>
      </c>
      <c r="J25" s="5" t="s">
        <v>672</v>
      </c>
      <c r="AN25" s="5" t="s">
        <v>29</v>
      </c>
      <c r="AO25" s="5" t="s">
        <v>713</v>
      </c>
    </row>
    <row r="26" spans="2:41" x14ac:dyDescent="0.2">
      <c r="I26" s="5" t="s">
        <v>323</v>
      </c>
      <c r="J26" s="5" t="s">
        <v>672</v>
      </c>
      <c r="AN26" s="5" t="s">
        <v>406</v>
      </c>
      <c r="AO26" s="5" t="s">
        <v>713</v>
      </c>
    </row>
    <row r="27" spans="2:41" x14ac:dyDescent="0.2">
      <c r="I27" s="5" t="s">
        <v>324</v>
      </c>
      <c r="J27" s="5" t="s">
        <v>673</v>
      </c>
      <c r="AN27" s="5" t="s">
        <v>32</v>
      </c>
      <c r="AO27" s="5" t="s">
        <v>858</v>
      </c>
    </row>
    <row r="28" spans="2:41" x14ac:dyDescent="0.2">
      <c r="I28" s="5" t="s">
        <v>325</v>
      </c>
      <c r="J28" s="5" t="s">
        <v>673</v>
      </c>
      <c r="AN28" s="5" t="s">
        <v>34</v>
      </c>
      <c r="AO28" s="5" t="s">
        <v>800</v>
      </c>
    </row>
    <row r="29" spans="2:41" x14ac:dyDescent="0.2">
      <c r="I29" s="5" t="s">
        <v>57</v>
      </c>
      <c r="J29" s="5" t="s">
        <v>672</v>
      </c>
      <c r="AN29" s="5" t="s">
        <v>2</v>
      </c>
      <c r="AO29" s="5" t="s">
        <v>801</v>
      </c>
    </row>
    <row r="30" spans="2:41" x14ac:dyDescent="0.2">
      <c r="I30" s="5" t="s">
        <v>326</v>
      </c>
      <c r="J30" s="5" t="s">
        <v>672</v>
      </c>
      <c r="AN30" s="5" t="s">
        <v>35</v>
      </c>
      <c r="AO30" s="5" t="s">
        <v>802</v>
      </c>
    </row>
    <row r="31" spans="2:41" x14ac:dyDescent="0.2">
      <c r="I31" s="5" t="s">
        <v>46</v>
      </c>
      <c r="J31" s="5" t="s">
        <v>672</v>
      </c>
      <c r="AN31" s="5" t="s">
        <v>12</v>
      </c>
      <c r="AO31" s="5" t="s">
        <v>803</v>
      </c>
    </row>
    <row r="32" spans="2:41" x14ac:dyDescent="0.2">
      <c r="I32" s="5" t="s">
        <v>45</v>
      </c>
      <c r="J32" s="5" t="s">
        <v>672</v>
      </c>
      <c r="AN32" s="5" t="s">
        <v>11</v>
      </c>
      <c r="AO32" s="5" t="s">
        <v>804</v>
      </c>
    </row>
    <row r="33" spans="9:10" x14ac:dyDescent="0.2">
      <c r="I33" s="5" t="s">
        <v>327</v>
      </c>
      <c r="J33" s="5" t="s">
        <v>672</v>
      </c>
    </row>
    <row r="34" spans="9:10" x14ac:dyDescent="0.2">
      <c r="I34" s="5" t="s">
        <v>56</v>
      </c>
      <c r="J34" s="5" t="s">
        <v>673</v>
      </c>
    </row>
    <row r="35" spans="9:10" x14ac:dyDescent="0.2">
      <c r="I35" s="5" t="s">
        <v>143</v>
      </c>
      <c r="J35" s="5" t="s">
        <v>673</v>
      </c>
    </row>
    <row r="36" spans="9:10" x14ac:dyDescent="0.2">
      <c r="I36" s="5" t="s">
        <v>473</v>
      </c>
      <c r="J36" s="5" t="s">
        <v>672</v>
      </c>
    </row>
    <row r="37" spans="9:10" x14ac:dyDescent="0.2">
      <c r="I37" s="5" t="s">
        <v>549</v>
      </c>
      <c r="J37" s="5" t="s">
        <v>672</v>
      </c>
    </row>
    <row r="38" spans="9:10" x14ac:dyDescent="0.2">
      <c r="I38" s="5" t="s">
        <v>474</v>
      </c>
      <c r="J38" s="5" t="s">
        <v>672</v>
      </c>
    </row>
    <row r="39" spans="9:10" x14ac:dyDescent="0.2">
      <c r="I39" s="5" t="s">
        <v>475</v>
      </c>
      <c r="J39" s="5" t="s">
        <v>672</v>
      </c>
    </row>
    <row r="40" spans="9:10" x14ac:dyDescent="0.2">
      <c r="I40" s="5" t="s">
        <v>476</v>
      </c>
      <c r="J40" s="5" t="s">
        <v>672</v>
      </c>
    </row>
    <row r="41" spans="9:10" x14ac:dyDescent="0.2">
      <c r="I41" s="5" t="s">
        <v>154</v>
      </c>
      <c r="J41" s="5" t="s">
        <v>673</v>
      </c>
    </row>
    <row r="42" spans="9:10" x14ac:dyDescent="0.2">
      <c r="I42" s="5" t="s">
        <v>49</v>
      </c>
      <c r="J42" s="5" t="s">
        <v>672</v>
      </c>
    </row>
    <row r="43" spans="9:10" x14ac:dyDescent="0.2">
      <c r="I43" s="5" t="s">
        <v>159</v>
      </c>
      <c r="J43" s="5" t="s">
        <v>673</v>
      </c>
    </row>
    <row r="44" spans="9:10" x14ac:dyDescent="0.2">
      <c r="I44" s="5" t="s">
        <v>50</v>
      </c>
      <c r="J44" s="5" t="s">
        <v>672</v>
      </c>
    </row>
    <row r="45" spans="9:10" x14ac:dyDescent="0.2">
      <c r="I45" s="5" t="s">
        <v>47</v>
      </c>
      <c r="J45" s="5" t="s">
        <v>672</v>
      </c>
    </row>
    <row r="46" spans="9:10" x14ac:dyDescent="0.2">
      <c r="I46" s="5" t="s">
        <v>48</v>
      </c>
      <c r="J46" s="5" t="s">
        <v>672</v>
      </c>
    </row>
    <row r="47" spans="9:10" x14ac:dyDescent="0.2">
      <c r="I47" s="5" t="s">
        <v>462</v>
      </c>
      <c r="J47" s="5" t="s">
        <v>672</v>
      </c>
    </row>
    <row r="48" spans="9:10" x14ac:dyDescent="0.2">
      <c r="I48" s="5" t="s">
        <v>60</v>
      </c>
      <c r="J48" s="5" t="s">
        <v>673</v>
      </c>
    </row>
    <row r="49" spans="9:10" x14ac:dyDescent="0.2">
      <c r="I49" s="5" t="s">
        <v>59</v>
      </c>
      <c r="J49" s="5" t="s">
        <v>673</v>
      </c>
    </row>
    <row r="50" spans="9:10" x14ac:dyDescent="0.2">
      <c r="I50" s="5" t="s">
        <v>61</v>
      </c>
      <c r="J50" s="5" t="s">
        <v>673</v>
      </c>
    </row>
    <row r="51" spans="9:10" x14ac:dyDescent="0.2">
      <c r="I51" s="5" t="s">
        <v>170</v>
      </c>
      <c r="J51" s="5" t="s">
        <v>673</v>
      </c>
    </row>
    <row r="52" spans="9:10" x14ac:dyDescent="0.2">
      <c r="I52" s="5" t="s">
        <v>328</v>
      </c>
      <c r="J52" s="5" t="s">
        <v>673</v>
      </c>
    </row>
    <row r="53" spans="9:10" x14ac:dyDescent="0.2">
      <c r="I53" s="5" t="s">
        <v>47</v>
      </c>
      <c r="J53" s="5" t="s">
        <v>673</v>
      </c>
    </row>
    <row r="54" spans="9:10" x14ac:dyDescent="0.2">
      <c r="I54" s="5" t="s">
        <v>329</v>
      </c>
      <c r="J54" s="5" t="s">
        <v>673</v>
      </c>
    </row>
    <row r="55" spans="9:10" x14ac:dyDescent="0.2">
      <c r="I55" s="5" t="s">
        <v>330</v>
      </c>
      <c r="J55" s="5" t="s">
        <v>673</v>
      </c>
    </row>
    <row r="56" spans="9:10" x14ac:dyDescent="0.2">
      <c r="I56" s="5" t="s">
        <v>331</v>
      </c>
      <c r="J56" s="5" t="s">
        <v>673</v>
      </c>
    </row>
    <row r="57" spans="9:10" x14ac:dyDescent="0.2">
      <c r="I57" s="5" t="s">
        <v>332</v>
      </c>
      <c r="J57" s="5" t="s">
        <v>673</v>
      </c>
    </row>
    <row r="58" spans="9:10" x14ac:dyDescent="0.2">
      <c r="I58" s="5" t="s">
        <v>333</v>
      </c>
      <c r="J58" s="5" t="s">
        <v>673</v>
      </c>
    </row>
    <row r="59" spans="9:10" x14ac:dyDescent="0.2">
      <c r="I59" s="5" t="s">
        <v>46</v>
      </c>
      <c r="J59" s="5" t="s">
        <v>673</v>
      </c>
    </row>
    <row r="60" spans="9:10" x14ac:dyDescent="0.2">
      <c r="I60" s="5" t="s">
        <v>334</v>
      </c>
      <c r="J60" s="5" t="s">
        <v>673</v>
      </c>
    </row>
    <row r="61" spans="9:10" x14ac:dyDescent="0.2">
      <c r="I61" s="5" t="s">
        <v>335</v>
      </c>
      <c r="J61" s="5" t="s">
        <v>673</v>
      </c>
    </row>
    <row r="62" spans="9:10" x14ac:dyDescent="0.2">
      <c r="I62" s="5" t="s">
        <v>336</v>
      </c>
      <c r="J62" s="5" t="s">
        <v>673</v>
      </c>
    </row>
    <row r="63" spans="9:10" x14ac:dyDescent="0.2">
      <c r="I63" s="5" t="s">
        <v>860</v>
      </c>
      <c r="J63" s="5" t="s">
        <v>673</v>
      </c>
    </row>
    <row r="64" spans="9:10" x14ac:dyDescent="0.2">
      <c r="I64" s="5" t="s">
        <v>338</v>
      </c>
      <c r="J64" s="5" t="s">
        <v>673</v>
      </c>
    </row>
    <row r="65" spans="9:10" x14ac:dyDescent="0.2">
      <c r="I65" s="5" t="s">
        <v>339</v>
      </c>
      <c r="J65" s="5" t="s">
        <v>673</v>
      </c>
    </row>
    <row r="66" spans="9:10" x14ac:dyDescent="0.2">
      <c r="I66" s="5" t="s">
        <v>477</v>
      </c>
      <c r="J66" s="5" t="s">
        <v>672</v>
      </c>
    </row>
    <row r="67" spans="9:10" x14ac:dyDescent="0.2">
      <c r="I67" s="5" t="s">
        <v>478</v>
      </c>
      <c r="J67" s="5" t="s">
        <v>672</v>
      </c>
    </row>
    <row r="68" spans="9:10" x14ac:dyDescent="0.2">
      <c r="I68" s="5" t="s">
        <v>479</v>
      </c>
      <c r="J68" s="5" t="s">
        <v>672</v>
      </c>
    </row>
    <row r="69" spans="9:10" x14ac:dyDescent="0.2">
      <c r="I69" s="5" t="s">
        <v>480</v>
      </c>
      <c r="J69" s="5" t="s">
        <v>672</v>
      </c>
    </row>
    <row r="70" spans="9:10" x14ac:dyDescent="0.2">
      <c r="I70" s="5" t="s">
        <v>481</v>
      </c>
      <c r="J70" s="5" t="s">
        <v>672</v>
      </c>
    </row>
    <row r="71" spans="9:10" x14ac:dyDescent="0.2">
      <c r="I71" s="5" t="s">
        <v>42</v>
      </c>
      <c r="J71" s="5" t="s">
        <v>672</v>
      </c>
    </row>
    <row r="72" spans="9:10" x14ac:dyDescent="0.2">
      <c r="I72" s="5" t="s">
        <v>43</v>
      </c>
      <c r="J72" s="5" t="s">
        <v>672</v>
      </c>
    </row>
    <row r="73" spans="9:10" x14ac:dyDescent="0.2">
      <c r="I73" s="5" t="s">
        <v>44</v>
      </c>
      <c r="J73" s="5" t="s">
        <v>672</v>
      </c>
    </row>
    <row r="74" spans="9:10" x14ac:dyDescent="0.2">
      <c r="I74" s="5" t="s">
        <v>340</v>
      </c>
      <c r="J74" s="5" t="s">
        <v>672</v>
      </c>
    </row>
    <row r="75" spans="9:10" x14ac:dyDescent="0.2">
      <c r="I75" s="5" t="s">
        <v>341</v>
      </c>
      <c r="J75" s="5" t="s">
        <v>672</v>
      </c>
    </row>
    <row r="76" spans="9:10" x14ac:dyDescent="0.2">
      <c r="I76" s="5" t="s">
        <v>24</v>
      </c>
      <c r="J76" s="5" t="s">
        <v>672</v>
      </c>
    </row>
    <row r="77" spans="9:10" x14ac:dyDescent="0.2">
      <c r="I77" s="5" t="s">
        <v>342</v>
      </c>
      <c r="J77" s="5" t="s">
        <v>672</v>
      </c>
    </row>
    <row r="78" spans="9:10" x14ac:dyDescent="0.2">
      <c r="I78" s="5" t="s">
        <v>343</v>
      </c>
      <c r="J78" s="5" t="s">
        <v>672</v>
      </c>
    </row>
    <row r="79" spans="9:10" x14ac:dyDescent="0.2">
      <c r="I79" s="5" t="s">
        <v>344</v>
      </c>
      <c r="J79" s="5" t="s">
        <v>672</v>
      </c>
    </row>
    <row r="80" spans="9:10" x14ac:dyDescent="0.2">
      <c r="I80" s="5" t="s">
        <v>345</v>
      </c>
      <c r="J80" s="5" t="s">
        <v>672</v>
      </c>
    </row>
    <row r="81" spans="9:10" x14ac:dyDescent="0.2">
      <c r="I81" s="5" t="s">
        <v>346</v>
      </c>
      <c r="J81" s="5" t="s">
        <v>672</v>
      </c>
    </row>
    <row r="82" spans="9:10" x14ac:dyDescent="0.2">
      <c r="I82" s="5" t="s">
        <v>347</v>
      </c>
      <c r="J82" s="5" t="s">
        <v>672</v>
      </c>
    </row>
    <row r="83" spans="9:10" x14ac:dyDescent="0.2">
      <c r="I83" s="5" t="s">
        <v>348</v>
      </c>
      <c r="J83" s="5" t="s">
        <v>672</v>
      </c>
    </row>
    <row r="84" spans="9:10" x14ac:dyDescent="0.2">
      <c r="I84" s="5" t="s">
        <v>349</v>
      </c>
      <c r="J84" s="5" t="s">
        <v>672</v>
      </c>
    </row>
    <row r="85" spans="9:10" x14ac:dyDescent="0.2">
      <c r="I85" s="5" t="s">
        <v>350</v>
      </c>
      <c r="J85" s="5" t="s">
        <v>672</v>
      </c>
    </row>
    <row r="86" spans="9:10" x14ac:dyDescent="0.2">
      <c r="I86" s="5" t="s">
        <v>351</v>
      </c>
      <c r="J86" s="5" t="s">
        <v>672</v>
      </c>
    </row>
    <row r="87" spans="9:10" x14ac:dyDescent="0.2">
      <c r="I87" s="5" t="s">
        <v>352</v>
      </c>
      <c r="J87" s="5" t="s">
        <v>672</v>
      </c>
    </row>
    <row r="88" spans="9:10" x14ac:dyDescent="0.2">
      <c r="I88" s="5" t="s">
        <v>353</v>
      </c>
      <c r="J88" s="5" t="s">
        <v>672</v>
      </c>
    </row>
    <row r="89" spans="9:10" x14ac:dyDescent="0.2">
      <c r="I89" s="5" t="s">
        <v>354</v>
      </c>
      <c r="J89" s="5" t="s">
        <v>672</v>
      </c>
    </row>
    <row r="90" spans="9:10" x14ac:dyDescent="0.2">
      <c r="I90" s="5" t="s">
        <v>355</v>
      </c>
      <c r="J90" s="5" t="s">
        <v>672</v>
      </c>
    </row>
    <row r="91" spans="9:10" x14ac:dyDescent="0.2">
      <c r="I91" s="5" t="s">
        <v>356</v>
      </c>
      <c r="J91" s="5" t="s">
        <v>672</v>
      </c>
    </row>
    <row r="92" spans="9:10" x14ac:dyDescent="0.2">
      <c r="I92" s="5" t="s">
        <v>357</v>
      </c>
      <c r="J92" s="5" t="s">
        <v>672</v>
      </c>
    </row>
    <row r="93" spans="9:10" x14ac:dyDescent="0.2">
      <c r="I93" s="5" t="s">
        <v>358</v>
      </c>
      <c r="J93" s="5" t="s">
        <v>672</v>
      </c>
    </row>
    <row r="94" spans="9:10" x14ac:dyDescent="0.2">
      <c r="I94" s="5" t="s">
        <v>359</v>
      </c>
      <c r="J94" s="5" t="s">
        <v>672</v>
      </c>
    </row>
    <row r="95" spans="9:10" x14ac:dyDescent="0.2">
      <c r="I95" s="5" t="s">
        <v>360</v>
      </c>
      <c r="J95" s="5" t="s">
        <v>672</v>
      </c>
    </row>
    <row r="96" spans="9:10" x14ac:dyDescent="0.2">
      <c r="I96" s="5" t="s">
        <v>361</v>
      </c>
      <c r="J96" s="5" t="s">
        <v>673</v>
      </c>
    </row>
    <row r="97" spans="9:10" x14ac:dyDescent="0.2">
      <c r="I97" s="5" t="s">
        <v>362</v>
      </c>
      <c r="J97" s="5" t="s">
        <v>673</v>
      </c>
    </row>
    <row r="98" spans="9:10" x14ac:dyDescent="0.2">
      <c r="I98" s="5" t="s">
        <v>363</v>
      </c>
      <c r="J98" s="5" t="s">
        <v>673</v>
      </c>
    </row>
    <row r="99" spans="9:10" x14ac:dyDescent="0.2">
      <c r="I99" s="5" t="s">
        <v>364</v>
      </c>
      <c r="J99" s="5" t="s">
        <v>673</v>
      </c>
    </row>
    <row r="100" spans="9:10" x14ac:dyDescent="0.2">
      <c r="I100" s="5" t="s">
        <v>365</v>
      </c>
      <c r="J100" s="5" t="s">
        <v>673</v>
      </c>
    </row>
    <row r="101" spans="9:10" x14ac:dyDescent="0.2">
      <c r="I101" s="5" t="s">
        <v>366</v>
      </c>
      <c r="J101" s="5" t="s">
        <v>673</v>
      </c>
    </row>
    <row r="102" spans="9:10" x14ac:dyDescent="0.2">
      <c r="I102" s="5" t="s">
        <v>367</v>
      </c>
      <c r="J102" s="5" t="s">
        <v>673</v>
      </c>
    </row>
    <row r="103" spans="9:10" x14ac:dyDescent="0.2">
      <c r="I103" s="5" t="s">
        <v>368</v>
      </c>
      <c r="J103" s="5" t="s">
        <v>672</v>
      </c>
    </row>
    <row r="104" spans="9:10" x14ac:dyDescent="0.2">
      <c r="I104" s="5" t="s">
        <v>369</v>
      </c>
      <c r="J104" s="5" t="s">
        <v>672</v>
      </c>
    </row>
    <row r="105" spans="9:10" x14ac:dyDescent="0.2">
      <c r="I105" s="5" t="s">
        <v>370</v>
      </c>
      <c r="J105" s="5" t="s">
        <v>672</v>
      </c>
    </row>
    <row r="106" spans="9:10" x14ac:dyDescent="0.2">
      <c r="I106" s="5" t="s">
        <v>371</v>
      </c>
      <c r="J106" s="5" t="s">
        <v>672</v>
      </c>
    </row>
    <row r="107" spans="9:10" x14ac:dyDescent="0.2">
      <c r="I107" s="5" t="s">
        <v>55</v>
      </c>
      <c r="J107" s="5" t="s">
        <v>673</v>
      </c>
    </row>
    <row r="108" spans="9:10" x14ac:dyDescent="0.2">
      <c r="I108" s="5" t="s">
        <v>51</v>
      </c>
      <c r="J108" s="5" t="s">
        <v>673</v>
      </c>
    </row>
    <row r="109" spans="9:10" x14ac:dyDescent="0.2">
      <c r="I109" s="5" t="s">
        <v>52</v>
      </c>
      <c r="J109" s="5" t="s">
        <v>673</v>
      </c>
    </row>
    <row r="110" spans="9:10" x14ac:dyDescent="0.2">
      <c r="I110" s="5" t="s">
        <v>372</v>
      </c>
      <c r="J110" s="5" t="s">
        <v>673</v>
      </c>
    </row>
    <row r="111" spans="9:10" x14ac:dyDescent="0.2">
      <c r="I111" s="5" t="s">
        <v>373</v>
      </c>
      <c r="J111" s="5" t="s">
        <v>673</v>
      </c>
    </row>
    <row r="112" spans="9:10" x14ac:dyDescent="0.2">
      <c r="I112" s="5" t="s">
        <v>374</v>
      </c>
      <c r="J112" s="5" t="s">
        <v>673</v>
      </c>
    </row>
    <row r="113" spans="9:10" x14ac:dyDescent="0.2">
      <c r="I113" s="5" t="s">
        <v>375</v>
      </c>
      <c r="J113" s="5" t="s">
        <v>673</v>
      </c>
    </row>
    <row r="114" spans="9:10" x14ac:dyDescent="0.2">
      <c r="I114" s="5" t="s">
        <v>376</v>
      </c>
      <c r="J114" s="5" t="s">
        <v>673</v>
      </c>
    </row>
    <row r="115" spans="9:10" x14ac:dyDescent="0.2">
      <c r="I115" s="5" t="s">
        <v>377</v>
      </c>
      <c r="J115" s="5" t="s">
        <v>673</v>
      </c>
    </row>
    <row r="116" spans="9:10" x14ac:dyDescent="0.2">
      <c r="I116" s="5" t="s">
        <v>378</v>
      </c>
      <c r="J116" s="5" t="s">
        <v>673</v>
      </c>
    </row>
    <row r="117" spans="9:10" x14ac:dyDescent="0.2">
      <c r="I117" s="5" t="s">
        <v>379</v>
      </c>
      <c r="J117" s="5" t="s">
        <v>673</v>
      </c>
    </row>
    <row r="118" spans="9:10" x14ac:dyDescent="0.2">
      <c r="I118" s="5" t="s">
        <v>380</v>
      </c>
      <c r="J118" s="5" t="s">
        <v>673</v>
      </c>
    </row>
    <row r="119" spans="9:10" x14ac:dyDescent="0.2">
      <c r="I119" s="5" t="s">
        <v>381</v>
      </c>
      <c r="J119" s="5" t="s">
        <v>673</v>
      </c>
    </row>
    <row r="120" spans="9:10" x14ac:dyDescent="0.2">
      <c r="I120" s="5" t="s">
        <v>382</v>
      </c>
      <c r="J120" s="5" t="s">
        <v>673</v>
      </c>
    </row>
    <row r="121" spans="9:10" x14ac:dyDescent="0.2">
      <c r="I121" s="5" t="s">
        <v>383</v>
      </c>
      <c r="J121" s="5" t="s">
        <v>673</v>
      </c>
    </row>
    <row r="122" spans="9:10" x14ac:dyDescent="0.2">
      <c r="I122" s="5" t="s">
        <v>384</v>
      </c>
      <c r="J122" s="5" t="s">
        <v>673</v>
      </c>
    </row>
    <row r="123" spans="9:10" x14ac:dyDescent="0.2">
      <c r="I123" s="5" t="s">
        <v>385</v>
      </c>
      <c r="J123" s="5" t="s">
        <v>673</v>
      </c>
    </row>
    <row r="124" spans="9:10" x14ac:dyDescent="0.2">
      <c r="I124" s="5" t="s">
        <v>343</v>
      </c>
      <c r="J124" s="5" t="s">
        <v>673</v>
      </c>
    </row>
    <row r="125" spans="9:10" x14ac:dyDescent="0.2">
      <c r="I125" s="5" t="s">
        <v>386</v>
      </c>
      <c r="J125" s="5" t="s">
        <v>673</v>
      </c>
    </row>
    <row r="126" spans="9:10" x14ac:dyDescent="0.2">
      <c r="I126" s="5" t="s">
        <v>387</v>
      </c>
      <c r="J126" s="5" t="s">
        <v>673</v>
      </c>
    </row>
    <row r="127" spans="9:10" x14ac:dyDescent="0.2">
      <c r="I127" s="5" t="s">
        <v>388</v>
      </c>
      <c r="J127" s="5" t="s">
        <v>673</v>
      </c>
    </row>
    <row r="128" spans="9:10" x14ac:dyDescent="0.2">
      <c r="I128" s="5" t="s">
        <v>389</v>
      </c>
      <c r="J128" s="5" t="s">
        <v>673</v>
      </c>
    </row>
    <row r="129" spans="9:10" x14ac:dyDescent="0.2">
      <c r="I129" s="5" t="s">
        <v>385</v>
      </c>
      <c r="J129" s="5" t="s">
        <v>673</v>
      </c>
    </row>
    <row r="130" spans="9:10" x14ac:dyDescent="0.2">
      <c r="I130" s="5" t="s">
        <v>343</v>
      </c>
      <c r="J130" s="5" t="s">
        <v>673</v>
      </c>
    </row>
    <row r="131" spans="9:10" x14ac:dyDescent="0.2">
      <c r="I131" s="5" t="s">
        <v>386</v>
      </c>
      <c r="J131" s="5" t="s">
        <v>673</v>
      </c>
    </row>
    <row r="132" spans="9:10" x14ac:dyDescent="0.2">
      <c r="I132" s="5" t="s">
        <v>387</v>
      </c>
      <c r="J132" s="5" t="s">
        <v>673</v>
      </c>
    </row>
    <row r="133" spans="9:10" x14ac:dyDescent="0.2">
      <c r="I133" s="5" t="s">
        <v>388</v>
      </c>
      <c r="J133" s="5" t="s">
        <v>673</v>
      </c>
    </row>
    <row r="134" spans="9:10" x14ac:dyDescent="0.2">
      <c r="I134" s="5" t="s">
        <v>389</v>
      </c>
      <c r="J134" s="5" t="s">
        <v>673</v>
      </c>
    </row>
    <row r="135" spans="9:10" x14ac:dyDescent="0.2">
      <c r="I135" s="5" t="s">
        <v>385</v>
      </c>
      <c r="J135" s="5" t="s">
        <v>673</v>
      </c>
    </row>
    <row r="136" spans="9:10" x14ac:dyDescent="0.2">
      <c r="I136" s="5" t="s">
        <v>343</v>
      </c>
      <c r="J136" s="5" t="s">
        <v>673</v>
      </c>
    </row>
    <row r="137" spans="9:10" x14ac:dyDescent="0.2">
      <c r="I137" s="5" t="s">
        <v>386</v>
      </c>
      <c r="J137" s="5" t="s">
        <v>673</v>
      </c>
    </row>
    <row r="138" spans="9:10" x14ac:dyDescent="0.2">
      <c r="I138" s="5" t="s">
        <v>387</v>
      </c>
      <c r="J138" s="5" t="s">
        <v>673</v>
      </c>
    </row>
    <row r="139" spans="9:10" x14ac:dyDescent="0.2">
      <c r="I139" s="5" t="s">
        <v>388</v>
      </c>
      <c r="J139" s="5" t="s">
        <v>673</v>
      </c>
    </row>
    <row r="140" spans="9:10" x14ac:dyDescent="0.2">
      <c r="I140" s="5" t="s">
        <v>389</v>
      </c>
      <c r="J140" s="5" t="s">
        <v>673</v>
      </c>
    </row>
    <row r="141" spans="9:10" x14ac:dyDescent="0.2">
      <c r="I141" s="5" t="s">
        <v>385</v>
      </c>
      <c r="J141" s="5" t="s">
        <v>673</v>
      </c>
    </row>
    <row r="142" spans="9:10" x14ac:dyDescent="0.2">
      <c r="I142" s="5" t="s">
        <v>343</v>
      </c>
      <c r="J142" s="5" t="s">
        <v>673</v>
      </c>
    </row>
    <row r="143" spans="9:10" x14ac:dyDescent="0.2">
      <c r="I143" s="5" t="s">
        <v>386</v>
      </c>
      <c r="J143" s="5" t="s">
        <v>673</v>
      </c>
    </row>
    <row r="144" spans="9:10" x14ac:dyDescent="0.2">
      <c r="I144" s="5" t="s">
        <v>387</v>
      </c>
      <c r="J144" s="5" t="s">
        <v>673</v>
      </c>
    </row>
    <row r="145" spans="9:10" x14ac:dyDescent="0.2">
      <c r="I145" s="5" t="s">
        <v>388</v>
      </c>
      <c r="J145" s="5" t="s">
        <v>673</v>
      </c>
    </row>
    <row r="146" spans="9:10" x14ac:dyDescent="0.2">
      <c r="I146" s="5" t="s">
        <v>389</v>
      </c>
      <c r="J146" s="5" t="s">
        <v>673</v>
      </c>
    </row>
    <row r="147" spans="9:10" x14ac:dyDescent="0.2">
      <c r="I147" s="5" t="s">
        <v>402</v>
      </c>
      <c r="J147" s="5" t="s">
        <v>672</v>
      </c>
    </row>
    <row r="148" spans="9:10" x14ac:dyDescent="0.2">
      <c r="I148" s="5" t="s">
        <v>403</v>
      </c>
      <c r="J148" s="5" t="s">
        <v>672</v>
      </c>
    </row>
    <row r="149" spans="9:10" x14ac:dyDescent="0.2">
      <c r="I149" s="5" t="s">
        <v>661</v>
      </c>
      <c r="J149" s="5" t="s">
        <v>672</v>
      </c>
    </row>
    <row r="150" spans="9:10" x14ac:dyDescent="0.2">
      <c r="I150" s="5" t="s">
        <v>662</v>
      </c>
      <c r="J150" s="5" t="s">
        <v>672</v>
      </c>
    </row>
    <row r="151" spans="9:10" x14ac:dyDescent="0.2"/>
    <row r="152" spans="9:10" x14ac:dyDescent="0.2"/>
    <row r="153" spans="9:10" x14ac:dyDescent="0.2"/>
    <row r="154" spans="9:10" x14ac:dyDescent="0.2"/>
    <row r="155" spans="9:10" x14ac:dyDescent="0.2"/>
    <row r="156" spans="9:10" x14ac:dyDescent="0.2"/>
    <row r="157" spans="9:10" x14ac:dyDescent="0.2"/>
    <row r="158" spans="9:10" x14ac:dyDescent="0.2"/>
    <row r="159" spans="9:10" x14ac:dyDescent="0.2"/>
    <row r="160" spans="9:10" x14ac:dyDescent="0.2"/>
    <row r="161" x14ac:dyDescent="0.2"/>
    <row r="162" x14ac:dyDescent="0.2"/>
    <row r="163" x14ac:dyDescent="0.2"/>
    <row r="164" x14ac:dyDescent="0.2"/>
    <row r="165" x14ac:dyDescent="0.2"/>
    <row r="166" x14ac:dyDescent="0.2"/>
    <row r="167" x14ac:dyDescent="0.2"/>
    <row r="168" x14ac:dyDescent="0.2"/>
    <row r="169" x14ac:dyDescent="0.2"/>
    <row r="170" x14ac:dyDescent="0.2"/>
    <row r="171" x14ac:dyDescent="0.2"/>
    <row r="172" x14ac:dyDescent="0.2"/>
    <row r="173" x14ac:dyDescent="0.2"/>
    <row r="174" x14ac:dyDescent="0.2"/>
    <row r="175" x14ac:dyDescent="0.2"/>
    <row r="176" hidden="1" x14ac:dyDescent="0.2"/>
    <row r="177" hidden="1" x14ac:dyDescent="0.2"/>
    <row r="178" hidden="1" x14ac:dyDescent="0.2"/>
    <row r="179" hidden="1" x14ac:dyDescent="0.2"/>
    <row r="180" hidden="1" x14ac:dyDescent="0.2"/>
    <row r="181" hidden="1" x14ac:dyDescent="0.2"/>
    <row r="182" hidden="1" x14ac:dyDescent="0.2"/>
    <row r="183" hidden="1" x14ac:dyDescent="0.2"/>
    <row r="184" hidden="1" x14ac:dyDescent="0.2"/>
    <row r="185" hidden="1" x14ac:dyDescent="0.2"/>
    <row r="186" hidden="1" x14ac:dyDescent="0.2"/>
    <row r="187" hidden="1" x14ac:dyDescent="0.2"/>
    <row r="188" hidden="1" x14ac:dyDescent="0.2"/>
    <row r="189" hidden="1" x14ac:dyDescent="0.2"/>
    <row r="190" hidden="1" x14ac:dyDescent="0.2"/>
    <row r="191" hidden="1" x14ac:dyDescent="0.2"/>
    <row r="192" hidden="1" x14ac:dyDescent="0.2"/>
    <row r="193" hidden="1" x14ac:dyDescent="0.2"/>
    <row r="194" hidden="1" x14ac:dyDescent="0.2"/>
  </sheetData>
  <autoFilter ref="I8:J150"/>
  <phoneticPr fontId="2" type="noConversion"/>
  <dataValidations count="17">
    <dataValidation type="list" allowBlank="1" showInputMessage="1" showErrorMessage="1" sqref="J9:J150">
      <formula1>Valid_VisibleHidden</formula1>
    </dataValidation>
    <dataValidation type="list" allowBlank="1" showInputMessage="1" showErrorMessage="1" promptTitle="Change formula bar height" prompt="Can automatically adjust formula bar height at BMDS Wizard startup." sqref="C23">
      <formula1>Valid_Boolean</formula1>
    </dataValidation>
    <dataValidation type="list" allowBlank="1" showInputMessage="1" showErrorMessage="1" promptTitle="BMDS Autorun Filename" prompt="Filename for the BMDS Autorun script." sqref="C13">
      <formula1>Valid_AutoBMDSEXE</formula1>
    </dataValidation>
    <dataValidation allowBlank="1" showInputMessage="1" showErrorMessage="1" promptTitle="BMDS EMF image scaling" prompt="Resize the comments to a certain fraction of the original image size; scaling of 1 would mean 100% of image size, 0.5 would be 50% size." sqref="C9"/>
    <dataValidation type="list" allowBlank="1" showInputMessage="1" showErrorMessage="1" promptTitle="Rename Exponential Output Files" prompt="Rename exponential files so that &quot;M2-M5&quot; are placed appropriately in the filename." sqref="C10">
      <formula1>Valid_Boolean</formula1>
    </dataValidation>
    <dataValidation allowBlank="1" showInputMessage="1" showErrorMessage="1" promptTitle="Exponential Search String" prompt="Uses this string to identify model exponential model outputs." sqref="C11"/>
    <dataValidation type="list" allowBlank="1" showInputMessage="1" showErrorMessage="1" promptTitle="Show splash screen" prompt="Turn splash screen at startup on or off." sqref="C12">
      <formula1>Valid_Boolean</formula1>
    </dataValidation>
    <dataValidation allowBlank="1" showInputMessage="1" showErrorMessage="1" promptTitle="Input file for Autorun" prompt="Input filename for autorun screen." sqref="C14"/>
    <dataValidation type="list" allowBlank="1" showInputMessage="1" showErrorMessage="1" promptTitle="Embed BMDS Outputs" prompt="Embed EMF image and Output OUT files into the Excel file." sqref="C15">
      <formula1>Valid_Boolean</formula1>
    </dataValidation>
    <dataValidation allowBlank="1" showInputMessage="1" showErrorMessage="1" promptTitle="BMDS Timeout" prompt="If a BMDS session takes longer than this value (in seconds), it will automatically abort." sqref="C16"/>
    <dataValidation type="list" allowBlank="1" showInputMessage="1" showErrorMessage="1" promptTitle="Sort summary table by BMDL" prompt="Sort summary table by increasing BMDL." sqref="C17">
      <formula1>Valid_Boolean</formula1>
    </dataValidation>
    <dataValidation type="list" allowBlank="1" showInputMessage="1" showErrorMessage="1" promptTitle="Hide Irrelevant Results Columns" prompt="Hide columns which are irrelevant based on the dataset type (i.e., hide the variance model for dichotomous data, etc.)" sqref="C18">
      <formula1>Valid_Boolean</formula1>
    </dataValidation>
    <dataValidation type="list" allowBlank="1" showInputMessage="1" showErrorMessage="1" promptTitle="Filter incorrect variance model" prompt="For continuous datasets, make only the correct variance model visible.  All data are still stored in the tool for both variance model types, but only the correct model is intially shown." sqref="C19">
      <formula1>Valid_Boolean</formula1>
    </dataValidation>
    <dataValidation type="list" allowBlank="1" showInputMessage="1" showErrorMessage="1" promptTitle="Move selected to top" prompt="Move the selected model to the top of the summary table." sqref="C20">
      <formula1>Valid_Boolean</formula1>
    </dataValidation>
    <dataValidation allowBlank="1" showInputMessage="1" showErrorMessage="1" promptTitle="Default fromula bar height" prompt="If &quot;change formula bar height&quot; is set to TRUE, will create a height equal to the number of rows specified here." sqref="C24"/>
    <dataValidation type="list" allowBlank="1" showInputMessage="1" showErrorMessage="1" promptTitle="DEBUG mode" prompt="Changes report generation and other settings in tool; should FALSE during normal operation." sqref="C25">
      <formula1>Valid_Boolean</formula1>
    </dataValidation>
    <dataValidation allowBlank="1" showInputMessage="1" showErrorMessage="1" promptTitle="Print DRAGON report" prompt=" Do not change." sqref="C21:C22"/>
  </dataValidations>
  <pageMargins left="0.75" right="0.75" top="1" bottom="1" header="0.5" footer="0.5"/>
  <pageSetup orientation="portrait" r:id="rId1"/>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tabColor indexed="44"/>
  </sheetPr>
  <dimension ref="A1:AZ160"/>
  <sheetViews>
    <sheetView topLeftCell="AH1" zoomScaleNormal="100" workbookViewId="0">
      <pane ySplit="5" topLeftCell="A6" activePane="bottomLeft" state="frozen"/>
      <selection pane="bottomLeft"/>
    </sheetView>
  </sheetViews>
  <sheetFormatPr defaultColWidth="0" defaultRowHeight="12.75" zeroHeight="1" x14ac:dyDescent="0.2"/>
  <cols>
    <col min="1" max="1" width="4.28515625" style="6" customWidth="1"/>
    <col min="2" max="2" width="19.28515625" style="6" customWidth="1"/>
    <col min="3" max="3" width="31.85546875" style="6" customWidth="1"/>
    <col min="4" max="4" width="28.42578125" style="6" customWidth="1"/>
    <col min="5" max="5" width="14.28515625" style="6" customWidth="1"/>
    <col min="6" max="6" width="17.140625" style="6" customWidth="1"/>
    <col min="7" max="7" width="14.85546875" style="6" customWidth="1"/>
    <col min="8" max="8" width="11.7109375" style="6" customWidth="1"/>
    <col min="9" max="9" width="4.28515625" style="6" customWidth="1"/>
    <col min="10" max="10" width="25" style="6" customWidth="1"/>
    <col min="11" max="13" width="8.85546875" style="6" customWidth="1"/>
    <col min="14" max="14" width="11.85546875" style="6" customWidth="1"/>
    <col min="15" max="24" width="8.85546875" style="6" customWidth="1"/>
    <col min="25" max="35" width="9.5703125" style="6" customWidth="1"/>
    <col min="36" max="47" width="8.85546875" style="6" customWidth="1"/>
    <col min="48" max="52" width="9.140625" style="6" customWidth="1"/>
    <col min="53" max="16384" width="9.140625" style="2" hidden="1"/>
  </cols>
  <sheetData>
    <row r="1" spans="1:52" s="1" customFormat="1" ht="11.25" customHeight="1" x14ac:dyDescent="0.2"/>
    <row r="2" spans="1:52" s="1" customFormat="1" ht="18" x14ac:dyDescent="0.25">
      <c r="B2" s="10" t="s">
        <v>562</v>
      </c>
    </row>
    <row r="3" spans="1:52" s="1" customFormat="1" ht="11.25" customHeight="1" x14ac:dyDescent="0.2"/>
    <row r="4" spans="1:52" s="1" customFormat="1" ht="12.75" customHeight="1" x14ac:dyDescent="0.2">
      <c r="B4" s="1" t="s">
        <v>611</v>
      </c>
    </row>
    <row r="5" spans="1:52" s="11" customFormat="1" ht="11.25" customHeight="1" thickBot="1" x14ac:dyDescent="0.25"/>
    <row r="6" spans="1:52" ht="13.5" thickTop="1" x14ac:dyDescent="0.2"/>
    <row r="7" spans="1:52" s="3" customFormat="1" ht="25.5" customHeight="1" x14ac:dyDescent="0.25">
      <c r="A7" s="6"/>
      <c r="B7" s="12" t="s">
        <v>625</v>
      </c>
      <c r="C7" s="6"/>
      <c r="D7" s="6"/>
      <c r="E7" s="6"/>
      <c r="F7" s="6"/>
      <c r="G7" s="6"/>
      <c r="H7" s="6"/>
      <c r="I7" s="6"/>
      <c r="J7" s="12" t="s">
        <v>394</v>
      </c>
      <c r="K7" s="122" t="s">
        <v>659</v>
      </c>
      <c r="L7" s="122"/>
      <c r="M7" s="122"/>
      <c r="N7" s="122"/>
      <c r="O7" s="122"/>
      <c r="P7" s="122"/>
      <c r="Q7" s="122"/>
      <c r="R7" s="122"/>
      <c r="S7" s="122"/>
      <c r="T7" s="122"/>
      <c r="U7" s="122" t="s">
        <v>405</v>
      </c>
      <c r="V7" s="122"/>
      <c r="W7" s="122"/>
      <c r="X7" s="122"/>
      <c r="Y7" s="122"/>
      <c r="Z7" s="122"/>
      <c r="AA7" s="122"/>
      <c r="AB7" s="122"/>
      <c r="AC7" s="122"/>
      <c r="AD7" s="122"/>
      <c r="AE7" s="122"/>
      <c r="AF7" s="122"/>
      <c r="AG7" s="122"/>
      <c r="AH7" s="122"/>
      <c r="AI7" s="122"/>
      <c r="AJ7" s="122" t="s">
        <v>592</v>
      </c>
      <c r="AK7" s="122"/>
      <c r="AL7" s="122"/>
      <c r="AM7" s="122"/>
      <c r="AN7" s="122"/>
      <c r="AO7" s="122"/>
      <c r="AP7" s="122"/>
      <c r="AQ7" s="122"/>
      <c r="AR7" s="122"/>
      <c r="AS7" s="122" t="s">
        <v>623</v>
      </c>
      <c r="AT7" s="122"/>
      <c r="AU7" s="122"/>
      <c r="AV7" s="6"/>
      <c r="AW7" s="6"/>
      <c r="AX7" s="6"/>
      <c r="AY7" s="6"/>
      <c r="AZ7" s="6"/>
    </row>
    <row r="8" spans="1:52" ht="27" customHeight="1" x14ac:dyDescent="0.2">
      <c r="B8" s="8" t="s">
        <v>68</v>
      </c>
      <c r="C8" s="7" t="str">
        <f>ModelType</f>
        <v>Dichotomous</v>
      </c>
      <c r="J8" s="9" t="s">
        <v>393</v>
      </c>
      <c r="K8" s="9" t="s">
        <v>632</v>
      </c>
      <c r="L8" s="9" t="s">
        <v>633</v>
      </c>
      <c r="M8" s="9" t="s">
        <v>635</v>
      </c>
      <c r="N8" s="9" t="str">
        <f>"Polynomial "&amp;N41&amp;" CV"</f>
        <v>Polynomial 3 CV</v>
      </c>
      <c r="O8" s="9" t="s">
        <v>634</v>
      </c>
      <c r="P8" s="9" t="s">
        <v>640</v>
      </c>
      <c r="Q8" s="9" t="s">
        <v>641</v>
      </c>
      <c r="R8" s="9" t="s">
        <v>643</v>
      </c>
      <c r="S8" s="9" t="str">
        <f>"Polynomial "&amp;S41&amp;" NCV"</f>
        <v>Polynomial 3 NCV</v>
      </c>
      <c r="T8" s="9" t="s">
        <v>642</v>
      </c>
      <c r="U8" s="9" t="s">
        <v>25</v>
      </c>
      <c r="V8" s="9" t="s">
        <v>33</v>
      </c>
      <c r="W8" s="9" t="s">
        <v>26</v>
      </c>
      <c r="X8" s="9" t="s">
        <v>27</v>
      </c>
      <c r="Y8" s="9" t="s">
        <v>30</v>
      </c>
      <c r="Z8" s="9" t="s">
        <v>28</v>
      </c>
      <c r="AA8" s="9" t="s">
        <v>31</v>
      </c>
      <c r="AB8" s="9" t="s">
        <v>10</v>
      </c>
      <c r="AC8" s="9" t="str">
        <f>"Multistage "&amp;AC41</f>
        <v>Multistage 3</v>
      </c>
      <c r="AD8" s="9" t="s">
        <v>652</v>
      </c>
      <c r="AE8" s="9" t="s">
        <v>653</v>
      </c>
      <c r="AF8" s="9" t="s">
        <v>654</v>
      </c>
      <c r="AG8" s="9" t="s">
        <v>657</v>
      </c>
      <c r="AH8" s="9" t="s">
        <v>658</v>
      </c>
      <c r="AI8" s="9" t="s">
        <v>655</v>
      </c>
      <c r="AJ8" s="9" t="str">
        <f t="shared" ref="AJ8:AQ8" si="0">"MultistageCancer " &amp;AJ41</f>
        <v>MultistageCancer 8</v>
      </c>
      <c r="AK8" s="9" t="str">
        <f t="shared" si="0"/>
        <v>MultistageCancer 7</v>
      </c>
      <c r="AL8" s="9" t="str">
        <f t="shared" si="0"/>
        <v>MultistageCancer 6</v>
      </c>
      <c r="AM8" s="9" t="str">
        <f t="shared" si="0"/>
        <v>MultistageCancer 5</v>
      </c>
      <c r="AN8" s="9" t="str">
        <f t="shared" si="0"/>
        <v>MultistageCancer 4</v>
      </c>
      <c r="AO8" s="9" t="str">
        <f t="shared" si="0"/>
        <v>MultistageCancer 3</v>
      </c>
      <c r="AP8" s="9" t="str">
        <f t="shared" si="0"/>
        <v>MultistageCancer 2</v>
      </c>
      <c r="AQ8" s="9" t="str">
        <f t="shared" si="0"/>
        <v>MultistageCancer 1</v>
      </c>
      <c r="AR8" s="9" t="s">
        <v>656</v>
      </c>
      <c r="AS8" s="9" t="s">
        <v>13</v>
      </c>
      <c r="AT8" s="9" t="s">
        <v>36</v>
      </c>
      <c r="AU8" s="9" t="s">
        <v>14</v>
      </c>
    </row>
    <row r="9" spans="1:52" ht="13.5" thickBot="1" x14ac:dyDescent="0.25">
      <c r="B9" s="8" t="s">
        <v>615</v>
      </c>
      <c r="C9" s="7">
        <f>Data_NumDG</f>
        <v>4</v>
      </c>
      <c r="J9" s="13" t="s">
        <v>670</v>
      </c>
      <c r="K9" s="15" t="str">
        <f t="shared" ref="K9:AU9" si="1">CONCATENATE(SmartStudyEndpointName,"-",K10,"-",K11,".opt")</f>
        <v>1-dichotomous-tc-ExpCV-1SD.opt</v>
      </c>
      <c r="L9" s="15" t="str">
        <f t="shared" si="1"/>
        <v>1-dichotomous-tc-HillCV-1SD.opt</v>
      </c>
      <c r="M9" s="15" t="str">
        <f t="shared" si="1"/>
        <v>1-dichotomous-tc-PowerCV-1SD.opt</v>
      </c>
      <c r="N9" s="15" t="str">
        <f t="shared" si="1"/>
        <v>1-dichotomous-tc-Poly3CV-1SD.opt</v>
      </c>
      <c r="O9" s="15" t="str">
        <f t="shared" si="1"/>
        <v>1-dichotomous-tc-LinearCV-1SD.opt</v>
      </c>
      <c r="P9" s="15" t="str">
        <f t="shared" si="1"/>
        <v>1-dichotomous-tc-ExpNCV-1SD.opt</v>
      </c>
      <c r="Q9" s="15" t="str">
        <f t="shared" si="1"/>
        <v>1-dichotomous-tc-HillNCV-1SD.opt</v>
      </c>
      <c r="R9" s="15" t="str">
        <f t="shared" si="1"/>
        <v>1-dichotomous-tc-PowerNCV-1SD.opt</v>
      </c>
      <c r="S9" s="15" t="str">
        <f t="shared" si="1"/>
        <v>1-dichotomous-tc-Poly3NCV-1SD.opt</v>
      </c>
      <c r="T9" s="15" t="str">
        <f t="shared" si="1"/>
        <v>1-dichotomous-tc-LinearNCV-1SD.opt</v>
      </c>
      <c r="U9" s="15" t="str">
        <f t="shared" si="1"/>
        <v>1-dichotomous-tc-Gamma-10%.opt</v>
      </c>
      <c r="V9" s="15" t="str">
        <f t="shared" si="1"/>
        <v>1-dichotomous-tc-DichHill-10%.opt</v>
      </c>
      <c r="W9" s="15" t="str">
        <f t="shared" si="1"/>
        <v>1-dichotomous-tc-Logistic-10%.opt</v>
      </c>
      <c r="X9" s="15" t="str">
        <f t="shared" si="1"/>
        <v>1-dichotomous-tc-LogLogistic-10%.opt</v>
      </c>
      <c r="Y9" s="15" t="str">
        <f t="shared" si="1"/>
        <v>1-dichotomous-tc-Probit-10%.opt</v>
      </c>
      <c r="Z9" s="15" t="str">
        <f t="shared" si="1"/>
        <v>1-dichotomous-tc-LogProbit-10%.opt</v>
      </c>
      <c r="AA9" s="15" t="str">
        <f t="shared" si="1"/>
        <v>1-dichotomous-tc-Weibull-10%.opt</v>
      </c>
      <c r="AB9" s="15" t="str">
        <f t="shared" si="1"/>
        <v>1-dichotomous-tc-Quantal-10%.opt</v>
      </c>
      <c r="AC9" s="15" t="str">
        <f t="shared" si="1"/>
        <v>1-dichotomous-tc-Multi3-10%.opt</v>
      </c>
      <c r="AD9" s="15" t="str">
        <f t="shared" si="1"/>
        <v>1-dichotomous-tc-GammaBgDose-10%.opt</v>
      </c>
      <c r="AE9" s="15" t="str">
        <f t="shared" si="1"/>
        <v>1-dichotomous-tc-LogBgResp-10%.opt</v>
      </c>
      <c r="AF9" s="15" t="str">
        <f t="shared" si="1"/>
        <v>1-dichotomous-tc-LogProbBgDose-10%.opt</v>
      </c>
      <c r="AG9" s="15" t="str">
        <f t="shared" si="1"/>
        <v>1-dichotomous-tc-ProbitBgResp-10%.opt</v>
      </c>
      <c r="AH9" s="15" t="str">
        <f t="shared" si="1"/>
        <v>1-dichotomous-tc-WeibullBgDose-10%.opt</v>
      </c>
      <c r="AI9" s="15" t="str">
        <f t="shared" si="1"/>
        <v>1-dichotomous-tc-MultiBgDose3-10%.opt</v>
      </c>
      <c r="AJ9" s="15" t="str">
        <f t="shared" si="1"/>
        <v>1-dichotomous-tc-MultiCanc8-10%.opt</v>
      </c>
      <c r="AK9" s="15" t="str">
        <f t="shared" si="1"/>
        <v>1-dichotomous-tc-MultiCanc7-10%.opt</v>
      </c>
      <c r="AL9" s="15" t="str">
        <f t="shared" si="1"/>
        <v>1-dichotomous-tc-MultiCanc6-10%.opt</v>
      </c>
      <c r="AM9" s="15" t="str">
        <f t="shared" si="1"/>
        <v>1-dichotomous-tc-MultiCanc5-10%.opt</v>
      </c>
      <c r="AN9" s="15" t="str">
        <f t="shared" si="1"/>
        <v>1-dichotomous-tc-MultiCanc4-10%.opt</v>
      </c>
      <c r="AO9" s="15" t="str">
        <f t="shared" si="1"/>
        <v>1-dichotomous-tc-MultiCanc3-10%.opt</v>
      </c>
      <c r="AP9" s="15" t="str">
        <f t="shared" si="1"/>
        <v>1-dichotomous-tc-MultiCanc2-10%.opt</v>
      </c>
      <c r="AQ9" s="15" t="str">
        <f t="shared" si="1"/>
        <v>1-dichotomous-tc-MultiCanc1-10%.opt</v>
      </c>
      <c r="AR9" s="15" t="str">
        <f t="shared" si="1"/>
        <v>1-dichotomous-tc-MultiCancBgDose3-10%.opt</v>
      </c>
      <c r="AS9" s="15" t="str">
        <f t="shared" si="1"/>
        <v>1-dichotomous-tc-NestedLog-10%.opt</v>
      </c>
      <c r="AT9" s="15" t="str">
        <f t="shared" si="1"/>
        <v>1-dichotomous-tc-NCTR-10%.opt</v>
      </c>
      <c r="AU9" s="15" t="str">
        <f t="shared" si="1"/>
        <v>1-dichotomous-tc-RaiVanRyzin-10%.opt</v>
      </c>
    </row>
    <row r="10" spans="1:52" ht="25.5" customHeight="1" x14ac:dyDescent="0.2">
      <c r="B10" s="8" t="s">
        <v>624</v>
      </c>
      <c r="C10" s="7" t="str">
        <f>IF(MAX($C$15:$C$52)=0,"-","'Model Options'!$E$16:$E$"&amp;MAX($C$15:$C$52)+15)</f>
        <v>'Model Options'!$E$16:$E$30</v>
      </c>
      <c r="E10" s="126" t="s">
        <v>660</v>
      </c>
      <c r="F10" s="127"/>
      <c r="G10" s="127"/>
      <c r="H10" s="128"/>
      <c r="J10" s="13" t="s">
        <v>8</v>
      </c>
      <c r="K10" s="15" t="s">
        <v>636</v>
      </c>
      <c r="L10" s="15" t="s">
        <v>637</v>
      </c>
      <c r="M10" s="15" t="s">
        <v>639</v>
      </c>
      <c r="N10" s="15" t="str">
        <f>"Poly"&amp;N41&amp;"CV"</f>
        <v>Poly3CV</v>
      </c>
      <c r="O10" s="15" t="s">
        <v>638</v>
      </c>
      <c r="P10" s="15" t="s">
        <v>644</v>
      </c>
      <c r="Q10" s="15" t="s">
        <v>645</v>
      </c>
      <c r="R10" s="15" t="s">
        <v>647</v>
      </c>
      <c r="S10" s="15" t="str">
        <f>"Poly"&amp;S41&amp;"NCV"</f>
        <v>Poly3NCV</v>
      </c>
      <c r="T10" s="15" t="s">
        <v>646</v>
      </c>
      <c r="U10" s="15" t="s">
        <v>25</v>
      </c>
      <c r="V10" s="15" t="s">
        <v>534</v>
      </c>
      <c r="W10" s="15" t="s">
        <v>26</v>
      </c>
      <c r="X10" s="15" t="s">
        <v>27</v>
      </c>
      <c r="Y10" s="15" t="s">
        <v>30</v>
      </c>
      <c r="Z10" s="15" t="s">
        <v>28</v>
      </c>
      <c r="AA10" s="15" t="s">
        <v>31</v>
      </c>
      <c r="AB10" s="15" t="s">
        <v>532</v>
      </c>
      <c r="AC10" s="15" t="str">
        <f>"Multi"&amp;AC41</f>
        <v>Multi3</v>
      </c>
      <c r="AD10" s="15" t="s">
        <v>533</v>
      </c>
      <c r="AE10" s="15" t="s">
        <v>535</v>
      </c>
      <c r="AF10" s="15" t="s">
        <v>536</v>
      </c>
      <c r="AG10" s="15" t="s">
        <v>537</v>
      </c>
      <c r="AH10" s="15" t="s">
        <v>538</v>
      </c>
      <c r="AI10" s="15" t="str">
        <f>"MultiBgDose"&amp;AI41</f>
        <v>MultiBgDose3</v>
      </c>
      <c r="AJ10" s="15" t="str">
        <f t="shared" ref="AJ10:AQ10" si="2">"MultiCanc"&amp;AJ41</f>
        <v>MultiCanc8</v>
      </c>
      <c r="AK10" s="15" t="str">
        <f t="shared" si="2"/>
        <v>MultiCanc7</v>
      </c>
      <c r="AL10" s="15" t="str">
        <f t="shared" si="2"/>
        <v>MultiCanc6</v>
      </c>
      <c r="AM10" s="15" t="str">
        <f t="shared" si="2"/>
        <v>MultiCanc5</v>
      </c>
      <c r="AN10" s="15" t="str">
        <f t="shared" si="2"/>
        <v>MultiCanc4</v>
      </c>
      <c r="AO10" s="15" t="str">
        <f t="shared" si="2"/>
        <v>MultiCanc3</v>
      </c>
      <c r="AP10" s="15" t="str">
        <f t="shared" si="2"/>
        <v>MultiCanc2</v>
      </c>
      <c r="AQ10" s="15" t="str">
        <f t="shared" si="2"/>
        <v>MultiCanc1</v>
      </c>
      <c r="AR10" s="15" t="str">
        <f>"MultiCancBgDose"&amp;AR41</f>
        <v>MultiCancBgDose3</v>
      </c>
      <c r="AS10" s="15" t="s">
        <v>539</v>
      </c>
      <c r="AT10" s="15" t="s">
        <v>36</v>
      </c>
      <c r="AU10" s="15" t="s">
        <v>540</v>
      </c>
    </row>
    <row r="11" spans="1:52" x14ac:dyDescent="0.2">
      <c r="B11" s="8" t="s">
        <v>616</v>
      </c>
      <c r="C11" s="7">
        <v>9</v>
      </c>
      <c r="E11" s="129"/>
      <c r="F11" s="130"/>
      <c r="G11" s="130"/>
      <c r="H11" s="131"/>
      <c r="J11" s="13" t="s">
        <v>529</v>
      </c>
      <c r="K11" s="15" t="str">
        <f t="shared" ref="K11:T11" si="3">K29*VLOOKUP(K45,Tbl_BMRFN,3,FALSE)&amp;VLOOKUP(K45,Tbl_BMRFN,2,FALSE)</f>
        <v>1SD</v>
      </c>
      <c r="L11" s="15" t="str">
        <f t="shared" si="3"/>
        <v>1SD</v>
      </c>
      <c r="M11" s="15" t="str">
        <f t="shared" si="3"/>
        <v>1SD</v>
      </c>
      <c r="N11" s="15" t="str">
        <f t="shared" si="3"/>
        <v>1SD</v>
      </c>
      <c r="O11" s="15" t="str">
        <f t="shared" si="3"/>
        <v>1SD</v>
      </c>
      <c r="P11" s="15" t="str">
        <f t="shared" si="3"/>
        <v>1SD</v>
      </c>
      <c r="Q11" s="15" t="str">
        <f t="shared" si="3"/>
        <v>1SD</v>
      </c>
      <c r="R11" s="15" t="str">
        <f t="shared" si="3"/>
        <v>1SD</v>
      </c>
      <c r="S11" s="15" t="str">
        <f t="shared" si="3"/>
        <v>1SD</v>
      </c>
      <c r="T11" s="15" t="str">
        <f t="shared" si="3"/>
        <v>1SD</v>
      </c>
      <c r="U11" s="15" t="str">
        <f t="shared" ref="U11:AU11" si="4">U29*VLOOKUP(U28,Tbl_BMRFN,3,FALSE)&amp;VLOOKUP(U28,Tbl_BMRFN,2,FALSE)</f>
        <v>10%</v>
      </c>
      <c r="V11" s="15" t="str">
        <f t="shared" si="4"/>
        <v>10%</v>
      </c>
      <c r="W11" s="15" t="str">
        <f t="shared" si="4"/>
        <v>10%</v>
      </c>
      <c r="X11" s="15" t="str">
        <f t="shared" si="4"/>
        <v>10%</v>
      </c>
      <c r="Y11" s="15" t="str">
        <f t="shared" si="4"/>
        <v>10%</v>
      </c>
      <c r="Z11" s="15" t="str">
        <f t="shared" si="4"/>
        <v>10%</v>
      </c>
      <c r="AA11" s="15" t="str">
        <f t="shared" si="4"/>
        <v>10%</v>
      </c>
      <c r="AB11" s="15" t="str">
        <f t="shared" si="4"/>
        <v>10%</v>
      </c>
      <c r="AC11" s="15" t="str">
        <f t="shared" si="4"/>
        <v>10%</v>
      </c>
      <c r="AD11" s="15" t="str">
        <f t="shared" si="4"/>
        <v>10%</v>
      </c>
      <c r="AE11" s="15" t="str">
        <f t="shared" si="4"/>
        <v>10%</v>
      </c>
      <c r="AF11" s="15" t="str">
        <f t="shared" si="4"/>
        <v>10%</v>
      </c>
      <c r="AG11" s="15" t="str">
        <f t="shared" si="4"/>
        <v>10%</v>
      </c>
      <c r="AH11" s="15" t="str">
        <f t="shared" si="4"/>
        <v>10%</v>
      </c>
      <c r="AI11" s="15" t="str">
        <f t="shared" si="4"/>
        <v>10%</v>
      </c>
      <c r="AJ11" s="15" t="str">
        <f t="shared" si="4"/>
        <v>10%</v>
      </c>
      <c r="AK11" s="15" t="str">
        <f t="shared" si="4"/>
        <v>10%</v>
      </c>
      <c r="AL11" s="15" t="str">
        <f t="shared" si="4"/>
        <v>10%</v>
      </c>
      <c r="AM11" s="15" t="str">
        <f t="shared" si="4"/>
        <v>10%</v>
      </c>
      <c r="AN11" s="15" t="str">
        <f t="shared" si="4"/>
        <v>10%</v>
      </c>
      <c r="AO11" s="15" t="str">
        <f t="shared" si="4"/>
        <v>10%</v>
      </c>
      <c r="AP11" s="15" t="str">
        <f t="shared" si="4"/>
        <v>10%</v>
      </c>
      <c r="AQ11" s="15" t="str">
        <f t="shared" si="4"/>
        <v>10%</v>
      </c>
      <c r="AR11" s="15" t="str">
        <f t="shared" si="4"/>
        <v>10%</v>
      </c>
      <c r="AS11" s="15" t="str">
        <f t="shared" si="4"/>
        <v>10%</v>
      </c>
      <c r="AT11" s="15" t="str">
        <f t="shared" si="4"/>
        <v>10%</v>
      </c>
      <c r="AU11" s="15" t="str">
        <f t="shared" si="4"/>
        <v>10%</v>
      </c>
    </row>
    <row r="12" spans="1:52" ht="26.25" thickBot="1" x14ac:dyDescent="0.25">
      <c r="B12" s="8" t="s">
        <v>617</v>
      </c>
      <c r="C12" s="7" t="str">
        <f ca="1">INDEX(PullDown_List,PullDown_ModelNum)</f>
        <v>Multistage 3</v>
      </c>
      <c r="E12" s="132"/>
      <c r="F12" s="133"/>
      <c r="G12" s="133"/>
      <c r="H12" s="134"/>
      <c r="J12" s="13" t="s">
        <v>320</v>
      </c>
      <c r="K12" s="14"/>
      <c r="L12" s="14"/>
      <c r="M12" s="14"/>
      <c r="N12" s="14"/>
      <c r="O12" s="14"/>
      <c r="P12" s="14"/>
      <c r="Q12" s="14"/>
      <c r="R12" s="14"/>
      <c r="S12" s="14"/>
      <c r="T12" s="14"/>
      <c r="U12" s="14"/>
      <c r="V12" s="14"/>
      <c r="W12" s="14"/>
      <c r="X12" s="14"/>
      <c r="Y12" s="14"/>
      <c r="Z12" s="14"/>
      <c r="AA12" s="14"/>
      <c r="AB12" s="14"/>
      <c r="AC12" s="14"/>
      <c r="AD12" s="14"/>
      <c r="AE12" s="14"/>
      <c r="AF12" s="14"/>
      <c r="AG12" s="14"/>
      <c r="AH12" s="14"/>
      <c r="AI12" s="14"/>
      <c r="AJ12" s="14"/>
      <c r="AK12" s="14"/>
      <c r="AL12" s="14"/>
      <c r="AM12" s="14"/>
      <c r="AN12" s="14"/>
      <c r="AO12" s="14"/>
      <c r="AP12" s="14"/>
      <c r="AQ12" s="14"/>
      <c r="AR12" s="14"/>
      <c r="AS12" s="14"/>
      <c r="AT12" s="14"/>
      <c r="AU12" s="14"/>
    </row>
    <row r="13" spans="1:52" x14ac:dyDescent="0.2">
      <c r="J13" s="13" t="s">
        <v>37</v>
      </c>
      <c r="K13" s="5" t="str">
        <f t="shared" ref="K13:AU13" si="5">INDEX(Tbl_DataInputNames,1,MATCH("Dose",Data_DataType,FALSE))</f>
        <v>Dose</v>
      </c>
      <c r="L13" s="5" t="str">
        <f t="shared" si="5"/>
        <v>Dose</v>
      </c>
      <c r="M13" s="5" t="str">
        <f t="shared" si="5"/>
        <v>Dose</v>
      </c>
      <c r="N13" s="5" t="str">
        <f t="shared" si="5"/>
        <v>Dose</v>
      </c>
      <c r="O13" s="5" t="str">
        <f t="shared" si="5"/>
        <v>Dose</v>
      </c>
      <c r="P13" s="5" t="str">
        <f t="shared" si="5"/>
        <v>Dose</v>
      </c>
      <c r="Q13" s="5" t="str">
        <f t="shared" si="5"/>
        <v>Dose</v>
      </c>
      <c r="R13" s="5" t="str">
        <f t="shared" si="5"/>
        <v>Dose</v>
      </c>
      <c r="S13" s="5" t="str">
        <f t="shared" si="5"/>
        <v>Dose</v>
      </c>
      <c r="T13" s="5" t="str">
        <f t="shared" si="5"/>
        <v>Dose</v>
      </c>
      <c r="U13" s="5" t="str">
        <f t="shared" si="5"/>
        <v>Dose</v>
      </c>
      <c r="V13" s="5" t="str">
        <f t="shared" si="5"/>
        <v>Dose</v>
      </c>
      <c r="W13" s="5" t="str">
        <f t="shared" si="5"/>
        <v>Dose</v>
      </c>
      <c r="X13" s="5" t="str">
        <f t="shared" si="5"/>
        <v>Dose</v>
      </c>
      <c r="Y13" s="5" t="str">
        <f t="shared" si="5"/>
        <v>Dose</v>
      </c>
      <c r="Z13" s="5" t="str">
        <f t="shared" si="5"/>
        <v>Dose</v>
      </c>
      <c r="AA13" s="5" t="str">
        <f t="shared" si="5"/>
        <v>Dose</v>
      </c>
      <c r="AB13" s="5" t="str">
        <f t="shared" si="5"/>
        <v>Dose</v>
      </c>
      <c r="AC13" s="5" t="str">
        <f t="shared" si="5"/>
        <v>Dose</v>
      </c>
      <c r="AD13" s="5" t="str">
        <f t="shared" si="5"/>
        <v>Dose</v>
      </c>
      <c r="AE13" s="5" t="str">
        <f t="shared" si="5"/>
        <v>Dose</v>
      </c>
      <c r="AF13" s="5" t="str">
        <f t="shared" si="5"/>
        <v>Dose</v>
      </c>
      <c r="AG13" s="5" t="str">
        <f t="shared" si="5"/>
        <v>Dose</v>
      </c>
      <c r="AH13" s="5" t="str">
        <f t="shared" si="5"/>
        <v>Dose</v>
      </c>
      <c r="AI13" s="5" t="str">
        <f t="shared" si="5"/>
        <v>Dose</v>
      </c>
      <c r="AJ13" s="5" t="str">
        <f t="shared" si="5"/>
        <v>Dose</v>
      </c>
      <c r="AK13" s="5" t="str">
        <f t="shared" si="5"/>
        <v>Dose</v>
      </c>
      <c r="AL13" s="5" t="str">
        <f t="shared" si="5"/>
        <v>Dose</v>
      </c>
      <c r="AM13" s="5" t="str">
        <f t="shared" si="5"/>
        <v>Dose</v>
      </c>
      <c r="AN13" s="5" t="str">
        <f t="shared" si="5"/>
        <v>Dose</v>
      </c>
      <c r="AO13" s="5" t="str">
        <f t="shared" si="5"/>
        <v>Dose</v>
      </c>
      <c r="AP13" s="5" t="str">
        <f t="shared" si="5"/>
        <v>Dose</v>
      </c>
      <c r="AQ13" s="5" t="str">
        <f t="shared" si="5"/>
        <v>Dose</v>
      </c>
      <c r="AR13" s="5" t="str">
        <f t="shared" si="5"/>
        <v>Dose</v>
      </c>
      <c r="AS13" s="5" t="str">
        <f t="shared" si="5"/>
        <v>Dose</v>
      </c>
      <c r="AT13" s="5" t="str">
        <f t="shared" si="5"/>
        <v>Dose</v>
      </c>
      <c r="AU13" s="5" t="str">
        <f t="shared" si="5"/>
        <v>Dose</v>
      </c>
    </row>
    <row r="14" spans="1:52" x14ac:dyDescent="0.2">
      <c r="B14" s="12" t="s">
        <v>614</v>
      </c>
      <c r="J14" s="13" t="s">
        <v>38</v>
      </c>
      <c r="K14" s="5" t="str">
        <f t="shared" ref="K14:AR14" si="6">INDEX(Tbl_DataInputNames,1,MATCH("NumAnimals",Data_DataType,FALSE))</f>
        <v>NumAnimals</v>
      </c>
      <c r="L14" s="5" t="str">
        <f t="shared" si="6"/>
        <v>NumAnimals</v>
      </c>
      <c r="M14" s="5" t="str">
        <f t="shared" si="6"/>
        <v>NumAnimals</v>
      </c>
      <c r="N14" s="5" t="str">
        <f t="shared" si="6"/>
        <v>NumAnimals</v>
      </c>
      <c r="O14" s="5" t="str">
        <f t="shared" si="6"/>
        <v>NumAnimals</v>
      </c>
      <c r="P14" s="5" t="str">
        <f t="shared" si="6"/>
        <v>NumAnimals</v>
      </c>
      <c r="Q14" s="5" t="str">
        <f t="shared" si="6"/>
        <v>NumAnimals</v>
      </c>
      <c r="R14" s="5" t="str">
        <f t="shared" si="6"/>
        <v>NumAnimals</v>
      </c>
      <c r="S14" s="5" t="str">
        <f t="shared" si="6"/>
        <v>NumAnimals</v>
      </c>
      <c r="T14" s="5" t="str">
        <f t="shared" si="6"/>
        <v>NumAnimals</v>
      </c>
      <c r="U14" s="5" t="str">
        <f t="shared" si="6"/>
        <v>NumAnimals</v>
      </c>
      <c r="V14" s="5" t="str">
        <f t="shared" si="6"/>
        <v>NumAnimals</v>
      </c>
      <c r="W14" s="5" t="str">
        <f t="shared" si="6"/>
        <v>NumAnimals</v>
      </c>
      <c r="X14" s="5" t="str">
        <f t="shared" si="6"/>
        <v>NumAnimals</v>
      </c>
      <c r="Y14" s="5" t="str">
        <f t="shared" si="6"/>
        <v>NumAnimals</v>
      </c>
      <c r="Z14" s="5" t="str">
        <f t="shared" si="6"/>
        <v>NumAnimals</v>
      </c>
      <c r="AA14" s="5" t="str">
        <f t="shared" si="6"/>
        <v>NumAnimals</v>
      </c>
      <c r="AB14" s="5" t="str">
        <f t="shared" si="6"/>
        <v>NumAnimals</v>
      </c>
      <c r="AC14" s="5" t="str">
        <f t="shared" si="6"/>
        <v>NumAnimals</v>
      </c>
      <c r="AD14" s="5" t="str">
        <f t="shared" si="6"/>
        <v>NumAnimals</v>
      </c>
      <c r="AE14" s="5" t="str">
        <f t="shared" si="6"/>
        <v>NumAnimals</v>
      </c>
      <c r="AF14" s="5" t="str">
        <f t="shared" si="6"/>
        <v>NumAnimals</v>
      </c>
      <c r="AG14" s="5" t="str">
        <f t="shared" si="6"/>
        <v>NumAnimals</v>
      </c>
      <c r="AH14" s="5" t="str">
        <f t="shared" si="6"/>
        <v>NumAnimals</v>
      </c>
      <c r="AI14" s="5" t="str">
        <f t="shared" si="6"/>
        <v>NumAnimals</v>
      </c>
      <c r="AJ14" s="5" t="str">
        <f t="shared" si="6"/>
        <v>NumAnimals</v>
      </c>
      <c r="AK14" s="5" t="str">
        <f t="shared" si="6"/>
        <v>NumAnimals</v>
      </c>
      <c r="AL14" s="5" t="str">
        <f t="shared" si="6"/>
        <v>NumAnimals</v>
      </c>
      <c r="AM14" s="5" t="str">
        <f t="shared" si="6"/>
        <v>NumAnimals</v>
      </c>
      <c r="AN14" s="5" t="str">
        <f t="shared" si="6"/>
        <v>NumAnimals</v>
      </c>
      <c r="AO14" s="5" t="str">
        <f t="shared" si="6"/>
        <v>NumAnimals</v>
      </c>
      <c r="AP14" s="5" t="str">
        <f t="shared" si="6"/>
        <v>NumAnimals</v>
      </c>
      <c r="AQ14" s="5" t="str">
        <f t="shared" si="6"/>
        <v>NumAnimals</v>
      </c>
      <c r="AR14" s="5" t="str">
        <f t="shared" si="6"/>
        <v>NumAnimals</v>
      </c>
      <c r="AS14" s="14"/>
      <c r="AT14" s="14"/>
      <c r="AU14" s="14"/>
    </row>
    <row r="15" spans="1:52" ht="25.5" x14ac:dyDescent="0.2">
      <c r="B15" s="9" t="s">
        <v>618</v>
      </c>
      <c r="C15" s="9" t="s">
        <v>619</v>
      </c>
      <c r="D15" s="9" t="s">
        <v>620</v>
      </c>
      <c r="E15" s="9" t="s">
        <v>621</v>
      </c>
      <c r="F15" s="9" t="s">
        <v>661</v>
      </c>
      <c r="G15" s="9" t="s">
        <v>662</v>
      </c>
      <c r="H15" s="9" t="s">
        <v>622</v>
      </c>
      <c r="J15" s="13" t="s">
        <v>39</v>
      </c>
      <c r="K15" s="5" t="e">
        <f t="shared" ref="K15:T15" si="7">INDEX(Tbl_DataInputNames,1,MATCH("Response",Data_DataType,FALSE))</f>
        <v>#N/A</v>
      </c>
      <c r="L15" s="5" t="e">
        <f t="shared" si="7"/>
        <v>#N/A</v>
      </c>
      <c r="M15" s="5" t="e">
        <f t="shared" si="7"/>
        <v>#N/A</v>
      </c>
      <c r="N15" s="5" t="e">
        <f t="shared" si="7"/>
        <v>#N/A</v>
      </c>
      <c r="O15" s="5" t="e">
        <f t="shared" si="7"/>
        <v>#N/A</v>
      </c>
      <c r="P15" s="5" t="e">
        <f t="shared" si="7"/>
        <v>#N/A</v>
      </c>
      <c r="Q15" s="5" t="e">
        <f t="shared" si="7"/>
        <v>#N/A</v>
      </c>
      <c r="R15" s="5" t="e">
        <f t="shared" si="7"/>
        <v>#N/A</v>
      </c>
      <c r="S15" s="5" t="e">
        <f t="shared" si="7"/>
        <v>#N/A</v>
      </c>
      <c r="T15" s="5" t="e">
        <f t="shared" si="7"/>
        <v>#N/A</v>
      </c>
      <c r="U15" s="14"/>
      <c r="V15" s="14"/>
      <c r="W15" s="14"/>
      <c r="X15" s="14"/>
      <c r="Y15" s="14"/>
      <c r="Z15" s="14"/>
      <c r="AA15" s="14"/>
      <c r="AB15" s="14"/>
      <c r="AC15" s="14"/>
      <c r="AD15" s="14"/>
      <c r="AE15" s="14"/>
      <c r="AF15" s="14"/>
      <c r="AG15" s="14"/>
      <c r="AH15" s="14"/>
      <c r="AI15" s="14"/>
      <c r="AJ15" s="14"/>
      <c r="AK15" s="14"/>
      <c r="AL15" s="14"/>
      <c r="AM15" s="14"/>
      <c r="AN15" s="14"/>
      <c r="AO15" s="14"/>
      <c r="AP15" s="14"/>
      <c r="AQ15" s="14"/>
      <c r="AR15" s="14"/>
      <c r="AS15" s="14"/>
      <c r="AT15" s="14"/>
      <c r="AU15" s="14"/>
    </row>
    <row r="16" spans="1:52" x14ac:dyDescent="0.2">
      <c r="B16" s="7">
        <v>1</v>
      </c>
      <c r="C16" s="7" t="str">
        <f>IF(H16=TRUE,MAX($C$15:$C15)+1,"Not Valid")</f>
        <v>Not Valid</v>
      </c>
      <c r="D16" s="7" t="str">
        <f t="shared" ref="D16:D47" si="8">INDEX(R_ModelOptionHeader,B16+1)</f>
        <v>Exponential CV</v>
      </c>
      <c r="E16" s="7" t="str">
        <f t="shared" ref="E16:E52" si="9">IF(ISERROR(INDEX(Tbl_FullModelOptionList,MATCH(B16,$C$15:$C$52,FALSE),3)),"-",INDEX(Tbl_FullModelOptionList,MATCH(B16,$C$15:$C$52,FALSE),3))</f>
        <v>Gamma</v>
      </c>
      <c r="F16" s="7" t="str">
        <f t="shared" ref="F16:G35" si="10">INDEX(Tbl_ModelOptionFiles,MATCH(F$15,ModelOptionFile_ColList,FALSE),MATCH($D16,R_ModelOptionHeader,FALSE))</f>
        <v>Continuous</v>
      </c>
      <c r="G16" s="7">
        <f t="shared" si="10"/>
        <v>2</v>
      </c>
      <c r="H16" s="7" t="b">
        <f t="shared" ref="H16:H52" si="11">IF(AND((ModelType=$F16),(Data_NumDG&gt;=$G16)),TRUE,FALSE)</f>
        <v>0</v>
      </c>
      <c r="J16" s="13" t="s">
        <v>40</v>
      </c>
      <c r="K16" s="5" t="e">
        <f t="shared" ref="K16:T16" si="12">INDEX(Tbl_DataInputNames,1,MATCH("Stdev",Data_DataType,FALSE))</f>
        <v>#N/A</v>
      </c>
      <c r="L16" s="5" t="e">
        <f t="shared" si="12"/>
        <v>#N/A</v>
      </c>
      <c r="M16" s="5" t="e">
        <f t="shared" si="12"/>
        <v>#N/A</v>
      </c>
      <c r="N16" s="5" t="e">
        <f t="shared" si="12"/>
        <v>#N/A</v>
      </c>
      <c r="O16" s="5" t="e">
        <f t="shared" si="12"/>
        <v>#N/A</v>
      </c>
      <c r="P16" s="5" t="e">
        <f t="shared" si="12"/>
        <v>#N/A</v>
      </c>
      <c r="Q16" s="5" t="e">
        <f t="shared" si="12"/>
        <v>#N/A</v>
      </c>
      <c r="R16" s="5" t="e">
        <f t="shared" si="12"/>
        <v>#N/A</v>
      </c>
      <c r="S16" s="5" t="e">
        <f t="shared" si="12"/>
        <v>#N/A</v>
      </c>
      <c r="T16" s="5" t="e">
        <f t="shared" si="12"/>
        <v>#N/A</v>
      </c>
      <c r="U16" s="14"/>
      <c r="V16" s="14"/>
      <c r="W16" s="14"/>
      <c r="X16" s="14"/>
      <c r="Y16" s="14"/>
      <c r="Z16" s="14"/>
      <c r="AA16" s="14"/>
      <c r="AB16" s="14"/>
      <c r="AC16" s="14"/>
      <c r="AD16" s="14"/>
      <c r="AE16" s="14"/>
      <c r="AF16" s="14"/>
      <c r="AG16" s="14"/>
      <c r="AH16" s="14"/>
      <c r="AI16" s="14"/>
      <c r="AJ16" s="14"/>
      <c r="AK16" s="14"/>
      <c r="AL16" s="14"/>
      <c r="AM16" s="14"/>
      <c r="AN16" s="14"/>
      <c r="AO16" s="14"/>
      <c r="AP16" s="14"/>
      <c r="AQ16" s="14"/>
      <c r="AR16" s="14"/>
      <c r="AS16" s="14"/>
      <c r="AT16" s="14"/>
      <c r="AU16" s="14"/>
    </row>
    <row r="17" spans="2:47" x14ac:dyDescent="0.2">
      <c r="B17" s="7">
        <v>2</v>
      </c>
      <c r="C17" s="7" t="str">
        <f>IF(H17=TRUE,MAX($C$15:$C16)+1,"Not Valid")</f>
        <v>Not Valid</v>
      </c>
      <c r="D17" s="7" t="str">
        <f t="shared" si="8"/>
        <v>Hill CV</v>
      </c>
      <c r="E17" s="7" t="str">
        <f t="shared" si="9"/>
        <v>Dichotomous-Hill</v>
      </c>
      <c r="F17" s="7" t="str">
        <f t="shared" si="10"/>
        <v>Continuous</v>
      </c>
      <c r="G17" s="7">
        <f t="shared" si="10"/>
        <v>4</v>
      </c>
      <c r="H17" s="7" t="b">
        <f t="shared" si="11"/>
        <v>0</v>
      </c>
      <c r="J17" s="13" t="s">
        <v>41</v>
      </c>
      <c r="K17" s="5"/>
      <c r="L17" s="5"/>
      <c r="M17" s="5"/>
      <c r="N17" s="5"/>
      <c r="O17" s="5"/>
      <c r="P17" s="5"/>
      <c r="Q17" s="5"/>
      <c r="R17" s="5"/>
      <c r="S17" s="5"/>
      <c r="T17" s="5"/>
      <c r="U17" s="14"/>
      <c r="V17" s="14"/>
      <c r="W17" s="14"/>
      <c r="X17" s="14"/>
      <c r="Y17" s="14"/>
      <c r="Z17" s="14"/>
      <c r="AA17" s="14"/>
      <c r="AB17" s="14"/>
      <c r="AC17" s="14"/>
      <c r="AD17" s="14"/>
      <c r="AE17" s="14"/>
      <c r="AF17" s="14"/>
      <c r="AG17" s="14"/>
      <c r="AH17" s="14"/>
      <c r="AI17" s="14"/>
      <c r="AJ17" s="14"/>
      <c r="AK17" s="14"/>
      <c r="AL17" s="14"/>
      <c r="AM17" s="14"/>
      <c r="AN17" s="14"/>
      <c r="AO17" s="14"/>
      <c r="AP17" s="14"/>
      <c r="AQ17" s="14"/>
      <c r="AR17" s="14"/>
      <c r="AS17" s="14"/>
      <c r="AT17" s="14"/>
      <c r="AU17" s="14"/>
    </row>
    <row r="18" spans="2:47" x14ac:dyDescent="0.2">
      <c r="B18" s="7">
        <v>3</v>
      </c>
      <c r="C18" s="7" t="str">
        <f>IF(H18=TRUE,MAX($C$15:$C17)+1,"Not Valid")</f>
        <v>Not Valid</v>
      </c>
      <c r="D18" s="7" t="str">
        <f t="shared" si="8"/>
        <v>Power CV</v>
      </c>
      <c r="E18" s="7" t="str">
        <f t="shared" si="9"/>
        <v>Logistic</v>
      </c>
      <c r="F18" s="7" t="str">
        <f t="shared" si="10"/>
        <v>Continuous</v>
      </c>
      <c r="G18" s="7">
        <f t="shared" si="10"/>
        <v>2</v>
      </c>
      <c r="H18" s="7" t="b">
        <f t="shared" si="11"/>
        <v>0</v>
      </c>
      <c r="J18" s="13" t="s">
        <v>53</v>
      </c>
      <c r="K18" s="14"/>
      <c r="L18" s="14"/>
      <c r="M18" s="14"/>
      <c r="N18" s="14"/>
      <c r="O18" s="14"/>
      <c r="P18" s="14"/>
      <c r="Q18" s="14"/>
      <c r="R18" s="14"/>
      <c r="S18" s="14"/>
      <c r="T18" s="14"/>
      <c r="U18" s="5" t="str">
        <f t="shared" ref="U18:AU18" si="13">INDEX(Tbl_DataInputNames,1,MATCH("Incidence",Data_DataType,FALSE))</f>
        <v>Incidence</v>
      </c>
      <c r="V18" s="5" t="str">
        <f t="shared" si="13"/>
        <v>Incidence</v>
      </c>
      <c r="W18" s="5" t="str">
        <f t="shared" si="13"/>
        <v>Incidence</v>
      </c>
      <c r="X18" s="5" t="str">
        <f t="shared" si="13"/>
        <v>Incidence</v>
      </c>
      <c r="Y18" s="5" t="str">
        <f t="shared" si="13"/>
        <v>Incidence</v>
      </c>
      <c r="Z18" s="5" t="str">
        <f t="shared" si="13"/>
        <v>Incidence</v>
      </c>
      <c r="AA18" s="5" t="str">
        <f t="shared" si="13"/>
        <v>Incidence</v>
      </c>
      <c r="AB18" s="5" t="str">
        <f t="shared" si="13"/>
        <v>Incidence</v>
      </c>
      <c r="AC18" s="5" t="str">
        <f t="shared" si="13"/>
        <v>Incidence</v>
      </c>
      <c r="AD18" s="5" t="str">
        <f t="shared" si="13"/>
        <v>Incidence</v>
      </c>
      <c r="AE18" s="5" t="str">
        <f t="shared" si="13"/>
        <v>Incidence</v>
      </c>
      <c r="AF18" s="5" t="str">
        <f t="shared" si="13"/>
        <v>Incidence</v>
      </c>
      <c r="AG18" s="5" t="str">
        <f t="shared" si="13"/>
        <v>Incidence</v>
      </c>
      <c r="AH18" s="5" t="str">
        <f t="shared" si="13"/>
        <v>Incidence</v>
      </c>
      <c r="AI18" s="5" t="str">
        <f t="shared" si="13"/>
        <v>Incidence</v>
      </c>
      <c r="AJ18" s="5" t="str">
        <f t="shared" si="13"/>
        <v>Incidence</v>
      </c>
      <c r="AK18" s="5" t="str">
        <f t="shared" si="13"/>
        <v>Incidence</v>
      </c>
      <c r="AL18" s="5" t="str">
        <f t="shared" si="13"/>
        <v>Incidence</v>
      </c>
      <c r="AM18" s="5" t="str">
        <f t="shared" si="13"/>
        <v>Incidence</v>
      </c>
      <c r="AN18" s="5" t="str">
        <f t="shared" si="13"/>
        <v>Incidence</v>
      </c>
      <c r="AO18" s="5" t="str">
        <f t="shared" si="13"/>
        <v>Incidence</v>
      </c>
      <c r="AP18" s="5" t="str">
        <f t="shared" si="13"/>
        <v>Incidence</v>
      </c>
      <c r="AQ18" s="5" t="str">
        <f t="shared" si="13"/>
        <v>Incidence</v>
      </c>
      <c r="AR18" s="5" t="str">
        <f t="shared" si="13"/>
        <v>Incidence</v>
      </c>
      <c r="AS18" s="5" t="str">
        <f t="shared" si="13"/>
        <v>Incidence</v>
      </c>
      <c r="AT18" s="5" t="str">
        <f t="shared" si="13"/>
        <v>Incidence</v>
      </c>
      <c r="AU18" s="5" t="str">
        <f t="shared" si="13"/>
        <v>Incidence</v>
      </c>
    </row>
    <row r="19" spans="2:47" x14ac:dyDescent="0.2">
      <c r="B19" s="7">
        <v>4</v>
      </c>
      <c r="C19" s="7" t="str">
        <f>IF(H19=TRUE,MAX($C$15:$C18)+1,"Not Valid")</f>
        <v>Not Valid</v>
      </c>
      <c r="D19" s="7" t="str">
        <f t="shared" si="8"/>
        <v>Polynomial 3 CV</v>
      </c>
      <c r="E19" s="7" t="str">
        <f t="shared" si="9"/>
        <v>LogLogistic</v>
      </c>
      <c r="F19" s="7" t="str">
        <f t="shared" si="10"/>
        <v>Continuous</v>
      </c>
      <c r="G19" s="7">
        <f t="shared" si="10"/>
        <v>2</v>
      </c>
      <c r="H19" s="7" t="b">
        <f t="shared" si="11"/>
        <v>0</v>
      </c>
      <c r="J19" s="13" t="s">
        <v>54</v>
      </c>
      <c r="K19" s="14"/>
      <c r="L19" s="14"/>
      <c r="M19" s="14"/>
      <c r="N19" s="14"/>
      <c r="O19" s="14"/>
      <c r="P19" s="14"/>
      <c r="Q19" s="14"/>
      <c r="R19" s="14"/>
      <c r="S19" s="14"/>
      <c r="T19" s="14"/>
      <c r="U19" s="5"/>
      <c r="V19" s="5"/>
      <c r="W19" s="5"/>
      <c r="X19" s="5"/>
      <c r="Y19" s="5"/>
      <c r="Z19" s="5"/>
      <c r="AA19" s="5"/>
      <c r="AB19" s="5"/>
      <c r="AC19" s="5"/>
      <c r="AD19" s="5"/>
      <c r="AE19" s="5"/>
      <c r="AF19" s="5"/>
      <c r="AG19" s="5"/>
      <c r="AH19" s="5"/>
      <c r="AI19" s="5"/>
      <c r="AJ19" s="5"/>
      <c r="AK19" s="5"/>
      <c r="AL19" s="5"/>
      <c r="AM19" s="5"/>
      <c r="AN19" s="5"/>
      <c r="AO19" s="5"/>
      <c r="AP19" s="5"/>
      <c r="AQ19" s="5"/>
      <c r="AR19" s="5"/>
      <c r="AS19" s="14"/>
      <c r="AT19" s="14"/>
      <c r="AU19" s="14"/>
    </row>
    <row r="20" spans="2:47" x14ac:dyDescent="0.2">
      <c r="B20" s="7">
        <v>5</v>
      </c>
      <c r="C20" s="7" t="str">
        <f>IF(H20=TRUE,MAX($C$15:$C19)+1,"Not Valid")</f>
        <v>Not Valid</v>
      </c>
      <c r="D20" s="7" t="str">
        <f t="shared" si="8"/>
        <v>Linear CV</v>
      </c>
      <c r="E20" s="7" t="str">
        <f t="shared" si="9"/>
        <v>Probit</v>
      </c>
      <c r="F20" s="7" t="str">
        <f t="shared" si="10"/>
        <v>Continuous</v>
      </c>
      <c r="G20" s="7">
        <f t="shared" si="10"/>
        <v>2</v>
      </c>
      <c r="H20" s="7" t="b">
        <f t="shared" si="11"/>
        <v>0</v>
      </c>
      <c r="J20" s="13" t="s">
        <v>58</v>
      </c>
      <c r="K20" s="14"/>
      <c r="L20" s="14"/>
      <c r="M20" s="14"/>
      <c r="N20" s="14"/>
      <c r="O20" s="14"/>
      <c r="P20" s="14"/>
      <c r="Q20" s="14"/>
      <c r="R20" s="14"/>
      <c r="S20" s="14"/>
      <c r="T20" s="14"/>
      <c r="U20" s="14"/>
      <c r="V20" s="14"/>
      <c r="W20" s="14"/>
      <c r="X20" s="14"/>
      <c r="Y20" s="14"/>
      <c r="Z20" s="14"/>
      <c r="AA20" s="14"/>
      <c r="AB20" s="14"/>
      <c r="AC20" s="14"/>
      <c r="AD20" s="14"/>
      <c r="AE20" s="14"/>
      <c r="AF20" s="14"/>
      <c r="AG20" s="14"/>
      <c r="AH20" s="14"/>
      <c r="AI20" s="14"/>
      <c r="AJ20" s="14"/>
      <c r="AK20" s="14"/>
      <c r="AL20" s="14"/>
      <c r="AM20" s="14"/>
      <c r="AN20" s="14"/>
      <c r="AO20" s="14"/>
      <c r="AP20" s="14"/>
      <c r="AQ20" s="14"/>
      <c r="AR20" s="14"/>
      <c r="AS20" s="5" t="s">
        <v>400</v>
      </c>
      <c r="AT20" s="5" t="s">
        <v>400</v>
      </c>
      <c r="AU20" s="5" t="s">
        <v>400</v>
      </c>
    </row>
    <row r="21" spans="2:47" x14ac:dyDescent="0.2">
      <c r="B21" s="7">
        <v>6</v>
      </c>
      <c r="C21" s="7" t="str">
        <f>IF(H21=TRUE,MAX($C$15:$C20)+1,"Not Valid")</f>
        <v>Not Valid</v>
      </c>
      <c r="D21" s="7" t="str">
        <f t="shared" si="8"/>
        <v>Exponential NCV</v>
      </c>
      <c r="E21" s="7" t="str">
        <f t="shared" si="9"/>
        <v>LogProbit</v>
      </c>
      <c r="F21" s="7" t="str">
        <f t="shared" si="10"/>
        <v>Continuous</v>
      </c>
      <c r="G21" s="7">
        <f t="shared" si="10"/>
        <v>2</v>
      </c>
      <c r="H21" s="7" t="b">
        <f t="shared" si="11"/>
        <v>0</v>
      </c>
      <c r="J21" s="13" t="s">
        <v>80</v>
      </c>
      <c r="K21" s="14"/>
      <c r="L21" s="14"/>
      <c r="M21" s="14"/>
      <c r="N21" s="14"/>
      <c r="O21" s="14"/>
      <c r="P21" s="14"/>
      <c r="Q21" s="14"/>
      <c r="R21" s="14"/>
      <c r="S21" s="14"/>
      <c r="T21" s="14"/>
      <c r="U21" s="14"/>
      <c r="V21" s="14"/>
      <c r="W21" s="14"/>
      <c r="X21" s="14"/>
      <c r="Y21" s="14"/>
      <c r="Z21" s="14"/>
      <c r="AA21" s="14"/>
      <c r="AB21" s="14"/>
      <c r="AC21" s="14"/>
      <c r="AD21" s="14"/>
      <c r="AE21" s="14"/>
      <c r="AF21" s="14"/>
      <c r="AG21" s="14"/>
      <c r="AH21" s="14"/>
      <c r="AI21" s="14"/>
      <c r="AJ21" s="14"/>
      <c r="AK21" s="14"/>
      <c r="AL21" s="14"/>
      <c r="AM21" s="14"/>
      <c r="AN21" s="14"/>
      <c r="AO21" s="14"/>
      <c r="AP21" s="14"/>
      <c r="AQ21" s="14"/>
      <c r="AR21" s="14"/>
      <c r="AS21" s="14"/>
      <c r="AT21" s="14"/>
      <c r="AU21" s="14"/>
    </row>
    <row r="22" spans="2:47" x14ac:dyDescent="0.2">
      <c r="B22" s="7">
        <v>7</v>
      </c>
      <c r="C22" s="7" t="str">
        <f>IF(H22=TRUE,MAX($C$15:$C21)+1,"Not Valid")</f>
        <v>Not Valid</v>
      </c>
      <c r="D22" s="7" t="str">
        <f t="shared" si="8"/>
        <v>Hill NCV</v>
      </c>
      <c r="E22" s="7" t="str">
        <f t="shared" si="9"/>
        <v>Weibull</v>
      </c>
      <c r="F22" s="7" t="str">
        <f t="shared" si="10"/>
        <v>Continuous</v>
      </c>
      <c r="G22" s="7">
        <f t="shared" si="10"/>
        <v>4</v>
      </c>
      <c r="H22" s="7" t="b">
        <f t="shared" si="11"/>
        <v>0</v>
      </c>
      <c r="J22" s="13" t="s">
        <v>59</v>
      </c>
      <c r="K22" s="14"/>
      <c r="L22" s="14"/>
      <c r="M22" s="14"/>
      <c r="N22" s="14"/>
      <c r="O22" s="14"/>
      <c r="P22" s="14"/>
      <c r="Q22" s="14"/>
      <c r="R22" s="14"/>
      <c r="S22" s="14"/>
      <c r="T22" s="14"/>
      <c r="U22" s="14"/>
      <c r="V22" s="14"/>
      <c r="W22" s="14"/>
      <c r="X22" s="14"/>
      <c r="Y22" s="14"/>
      <c r="Z22" s="14"/>
      <c r="AA22" s="14"/>
      <c r="AB22" s="14"/>
      <c r="AC22" s="14"/>
      <c r="AD22" s="14"/>
      <c r="AE22" s="14"/>
      <c r="AF22" s="14"/>
      <c r="AG22" s="14"/>
      <c r="AH22" s="14"/>
      <c r="AI22" s="14"/>
      <c r="AJ22" s="14"/>
      <c r="AK22" s="14"/>
      <c r="AL22" s="14"/>
      <c r="AM22" s="14"/>
      <c r="AN22" s="14"/>
      <c r="AO22" s="14"/>
      <c r="AP22" s="14"/>
      <c r="AQ22" s="14"/>
      <c r="AR22" s="14"/>
      <c r="AS22" s="5" t="s">
        <v>400</v>
      </c>
      <c r="AT22" s="5" t="s">
        <v>400</v>
      </c>
      <c r="AU22" s="5" t="s">
        <v>400</v>
      </c>
    </row>
    <row r="23" spans="2:47" x14ac:dyDescent="0.2">
      <c r="B23" s="7">
        <v>8</v>
      </c>
      <c r="C23" s="7" t="str">
        <f>IF(H23=TRUE,MAX($C$15:$C22)+1,"Not Valid")</f>
        <v>Not Valid</v>
      </c>
      <c r="D23" s="7" t="str">
        <f t="shared" si="8"/>
        <v>Power NCV</v>
      </c>
      <c r="E23" s="7" t="str">
        <f t="shared" si="9"/>
        <v>QuantalLinear</v>
      </c>
      <c r="F23" s="7" t="str">
        <f t="shared" si="10"/>
        <v>Continuous</v>
      </c>
      <c r="G23" s="7">
        <f t="shared" si="10"/>
        <v>2</v>
      </c>
      <c r="H23" s="7" t="b">
        <f t="shared" si="11"/>
        <v>0</v>
      </c>
      <c r="J23" s="13" t="s">
        <v>321</v>
      </c>
      <c r="K23" s="14"/>
      <c r="L23" s="14"/>
      <c r="M23" s="14"/>
      <c r="N23" s="14"/>
      <c r="O23" s="14"/>
      <c r="P23" s="14"/>
      <c r="Q23" s="14"/>
      <c r="R23" s="14"/>
      <c r="S23" s="14"/>
      <c r="T23" s="14"/>
      <c r="U23" s="14"/>
      <c r="V23" s="14"/>
      <c r="W23" s="14"/>
      <c r="X23" s="14"/>
      <c r="Y23" s="14"/>
      <c r="Z23" s="14"/>
      <c r="AA23" s="14"/>
      <c r="AB23" s="14"/>
      <c r="AC23" s="14"/>
      <c r="AD23" s="14"/>
      <c r="AE23" s="14"/>
      <c r="AF23" s="14"/>
      <c r="AG23" s="14"/>
      <c r="AH23" s="14"/>
      <c r="AI23" s="14"/>
      <c r="AJ23" s="14"/>
      <c r="AK23" s="14"/>
      <c r="AL23" s="14"/>
      <c r="AM23" s="14"/>
      <c r="AN23" s="14"/>
      <c r="AO23" s="14"/>
      <c r="AP23" s="14"/>
      <c r="AQ23" s="14"/>
      <c r="AR23" s="14"/>
      <c r="AS23" s="14"/>
      <c r="AT23" s="14"/>
      <c r="AU23" s="14"/>
    </row>
    <row r="24" spans="2:47" x14ac:dyDescent="0.2">
      <c r="B24" s="7">
        <v>9</v>
      </c>
      <c r="C24" s="7" t="str">
        <f>IF(H24=TRUE,MAX($C$15:$C23)+1,"Not Valid")</f>
        <v>Not Valid</v>
      </c>
      <c r="D24" s="7" t="str">
        <f t="shared" si="8"/>
        <v>Polynomial 3 NCV</v>
      </c>
      <c r="E24" s="7" t="str">
        <f t="shared" si="9"/>
        <v>Multistage 3</v>
      </c>
      <c r="F24" s="7" t="str">
        <f t="shared" si="10"/>
        <v>Continuous</v>
      </c>
      <c r="G24" s="7">
        <f t="shared" si="10"/>
        <v>2</v>
      </c>
      <c r="H24" s="7" t="b">
        <f t="shared" si="11"/>
        <v>0</v>
      </c>
      <c r="J24" s="13" t="s">
        <v>322</v>
      </c>
      <c r="K24" s="5" t="s">
        <v>391</v>
      </c>
      <c r="L24" s="14" t="s">
        <v>391</v>
      </c>
      <c r="M24" s="14" t="s">
        <v>391</v>
      </c>
      <c r="N24" s="14" t="s">
        <v>391</v>
      </c>
      <c r="O24" s="14" t="s">
        <v>391</v>
      </c>
      <c r="P24" s="5" t="s">
        <v>391</v>
      </c>
      <c r="Q24" s="14" t="s">
        <v>391</v>
      </c>
      <c r="R24" s="14" t="s">
        <v>391</v>
      </c>
      <c r="S24" s="14" t="s">
        <v>391</v>
      </c>
      <c r="T24" s="14" t="s">
        <v>391</v>
      </c>
      <c r="U24" s="14" t="s">
        <v>391</v>
      </c>
      <c r="V24" s="14" t="s">
        <v>391</v>
      </c>
      <c r="W24" s="14" t="s">
        <v>391</v>
      </c>
      <c r="X24" s="14" t="s">
        <v>391</v>
      </c>
      <c r="Y24" s="14" t="s">
        <v>391</v>
      </c>
      <c r="Z24" s="14" t="s">
        <v>391</v>
      </c>
      <c r="AA24" s="14" t="s">
        <v>391</v>
      </c>
      <c r="AB24" s="14" t="s">
        <v>391</v>
      </c>
      <c r="AC24" s="14" t="s">
        <v>391</v>
      </c>
      <c r="AD24" s="14" t="s">
        <v>391</v>
      </c>
      <c r="AE24" s="14" t="s">
        <v>391</v>
      </c>
      <c r="AF24" s="14" t="s">
        <v>391</v>
      </c>
      <c r="AG24" s="14" t="s">
        <v>391</v>
      </c>
      <c r="AH24" s="14" t="s">
        <v>391</v>
      </c>
      <c r="AI24" s="14" t="s">
        <v>391</v>
      </c>
      <c r="AJ24" s="14" t="s">
        <v>391</v>
      </c>
      <c r="AK24" s="14" t="s">
        <v>391</v>
      </c>
      <c r="AL24" s="14" t="s">
        <v>391</v>
      </c>
      <c r="AM24" s="14" t="s">
        <v>391</v>
      </c>
      <c r="AN24" s="14" t="s">
        <v>391</v>
      </c>
      <c r="AO24" s="14" t="s">
        <v>391</v>
      </c>
      <c r="AP24" s="14" t="s">
        <v>391</v>
      </c>
      <c r="AQ24" s="14" t="s">
        <v>391</v>
      </c>
      <c r="AR24" s="14" t="s">
        <v>391</v>
      </c>
      <c r="AS24" s="14" t="s">
        <v>391</v>
      </c>
      <c r="AT24" s="14" t="s">
        <v>391</v>
      </c>
      <c r="AU24" s="14" t="s">
        <v>391</v>
      </c>
    </row>
    <row r="25" spans="2:47" x14ac:dyDescent="0.2">
      <c r="B25" s="7">
        <v>10</v>
      </c>
      <c r="C25" s="7" t="str">
        <f>IF(H25=TRUE,MAX($C$15:$C24)+1,"Not Valid")</f>
        <v>Not Valid</v>
      </c>
      <c r="D25" s="7" t="str">
        <f t="shared" si="8"/>
        <v>Linear NCV</v>
      </c>
      <c r="E25" s="7" t="str">
        <f t="shared" si="9"/>
        <v>Alternative: Gamma-BgDose</v>
      </c>
      <c r="F25" s="7" t="str">
        <f t="shared" si="10"/>
        <v>Continuous</v>
      </c>
      <c r="G25" s="7">
        <f t="shared" si="10"/>
        <v>2</v>
      </c>
      <c r="H25" s="7" t="b">
        <f t="shared" si="11"/>
        <v>0</v>
      </c>
      <c r="J25" s="13" t="s">
        <v>323</v>
      </c>
      <c r="K25" s="5" t="s">
        <v>392</v>
      </c>
      <c r="L25" s="14" t="s">
        <v>392</v>
      </c>
      <c r="M25" s="14" t="s">
        <v>392</v>
      </c>
      <c r="N25" s="14" t="s">
        <v>392</v>
      </c>
      <c r="O25" s="14" t="s">
        <v>392</v>
      </c>
      <c r="P25" s="5" t="s">
        <v>392</v>
      </c>
      <c r="Q25" s="14" t="s">
        <v>392</v>
      </c>
      <c r="R25" s="14" t="s">
        <v>392</v>
      </c>
      <c r="S25" s="14" t="s">
        <v>392</v>
      </c>
      <c r="T25" s="14" t="s">
        <v>392</v>
      </c>
      <c r="U25" s="14" t="s">
        <v>392</v>
      </c>
      <c r="V25" s="14" t="s">
        <v>392</v>
      </c>
      <c r="W25" s="14" t="s">
        <v>392</v>
      </c>
      <c r="X25" s="14" t="s">
        <v>392</v>
      </c>
      <c r="Y25" s="14" t="s">
        <v>392</v>
      </c>
      <c r="Z25" s="14" t="s">
        <v>392</v>
      </c>
      <c r="AA25" s="14" t="s">
        <v>392</v>
      </c>
      <c r="AB25" s="14" t="s">
        <v>392</v>
      </c>
      <c r="AC25" s="14" t="s">
        <v>392</v>
      </c>
      <c r="AD25" s="14" t="s">
        <v>392</v>
      </c>
      <c r="AE25" s="14" t="s">
        <v>392</v>
      </c>
      <c r="AF25" s="14" t="s">
        <v>392</v>
      </c>
      <c r="AG25" s="14" t="s">
        <v>392</v>
      </c>
      <c r="AH25" s="14" t="s">
        <v>392</v>
      </c>
      <c r="AI25" s="14" t="s">
        <v>392</v>
      </c>
      <c r="AJ25" s="14" t="s">
        <v>392</v>
      </c>
      <c r="AK25" s="14" t="s">
        <v>392</v>
      </c>
      <c r="AL25" s="14" t="s">
        <v>392</v>
      </c>
      <c r="AM25" s="14" t="s">
        <v>392</v>
      </c>
      <c r="AN25" s="14" t="s">
        <v>392</v>
      </c>
      <c r="AO25" s="14" t="s">
        <v>392</v>
      </c>
      <c r="AP25" s="14" t="s">
        <v>392</v>
      </c>
      <c r="AQ25" s="14" t="s">
        <v>392</v>
      </c>
      <c r="AR25" s="14" t="s">
        <v>392</v>
      </c>
      <c r="AS25" s="14" t="s">
        <v>392</v>
      </c>
      <c r="AT25" s="14" t="s">
        <v>392</v>
      </c>
      <c r="AU25" s="14" t="s">
        <v>392</v>
      </c>
    </row>
    <row r="26" spans="2:47" x14ac:dyDescent="0.2">
      <c r="B26" s="7">
        <v>11</v>
      </c>
      <c r="C26" s="7">
        <f>IF(H26=TRUE,MAX($C$15:$C25)+1,"Not Valid")</f>
        <v>1</v>
      </c>
      <c r="D26" s="7" t="str">
        <f t="shared" si="8"/>
        <v>Gamma</v>
      </c>
      <c r="E26" s="7" t="str">
        <f t="shared" si="9"/>
        <v>Alternative: Logistic-BgResponse</v>
      </c>
      <c r="F26" s="7" t="str">
        <f t="shared" si="10"/>
        <v>Dichotomous</v>
      </c>
      <c r="G26" s="7">
        <v>3</v>
      </c>
      <c r="H26" s="7" t="b">
        <f t="shared" si="11"/>
        <v>1</v>
      </c>
      <c r="J26" s="13" t="s">
        <v>324</v>
      </c>
      <c r="K26" s="14">
        <v>0</v>
      </c>
      <c r="L26" s="14">
        <v>0</v>
      </c>
      <c r="M26" s="14">
        <v>0</v>
      </c>
      <c r="N26" s="14">
        <v>0</v>
      </c>
      <c r="O26" s="14">
        <v>0</v>
      </c>
      <c r="P26" s="14">
        <v>0</v>
      </c>
      <c r="Q26" s="14">
        <v>0</v>
      </c>
      <c r="R26" s="14">
        <v>0</v>
      </c>
      <c r="S26" s="14">
        <v>0</v>
      </c>
      <c r="T26" s="14">
        <v>0</v>
      </c>
      <c r="U26" s="14">
        <v>0</v>
      </c>
      <c r="V26" s="14">
        <v>0</v>
      </c>
      <c r="W26" s="14">
        <v>0</v>
      </c>
      <c r="X26" s="14">
        <v>0</v>
      </c>
      <c r="Y26" s="14">
        <v>0</v>
      </c>
      <c r="Z26" s="14">
        <v>0</v>
      </c>
      <c r="AA26" s="14">
        <v>0</v>
      </c>
      <c r="AB26" s="14">
        <v>0</v>
      </c>
      <c r="AC26" s="14">
        <v>0</v>
      </c>
      <c r="AD26" s="14">
        <v>0</v>
      </c>
      <c r="AE26" s="14">
        <v>0</v>
      </c>
      <c r="AF26" s="14">
        <v>0</v>
      </c>
      <c r="AG26" s="14">
        <v>0</v>
      </c>
      <c r="AH26" s="14">
        <v>0</v>
      </c>
      <c r="AI26" s="14">
        <v>0</v>
      </c>
      <c r="AJ26" s="14">
        <v>0</v>
      </c>
      <c r="AK26" s="14">
        <v>0</v>
      </c>
      <c r="AL26" s="14">
        <v>0</v>
      </c>
      <c r="AM26" s="14">
        <v>0</v>
      </c>
      <c r="AN26" s="14">
        <v>0</v>
      </c>
      <c r="AO26" s="14">
        <v>0</v>
      </c>
      <c r="AP26" s="14">
        <v>0</v>
      </c>
      <c r="AQ26" s="14">
        <v>0</v>
      </c>
      <c r="AR26" s="14">
        <v>0</v>
      </c>
      <c r="AS26" s="14">
        <v>0</v>
      </c>
      <c r="AT26" s="14">
        <v>0</v>
      </c>
      <c r="AU26" s="14">
        <v>0</v>
      </c>
    </row>
    <row r="27" spans="2:47" x14ac:dyDescent="0.2">
      <c r="B27" s="7">
        <v>12</v>
      </c>
      <c r="C27" s="7">
        <f>IF(H27=TRUE,MAX($C$15:$C26)+1,"Not Valid")</f>
        <v>2</v>
      </c>
      <c r="D27" s="7" t="str">
        <f t="shared" si="8"/>
        <v>Dichotomous-Hill</v>
      </c>
      <c r="E27" s="7" t="str">
        <f t="shared" si="9"/>
        <v>Alternative: LogProbit_BgDose</v>
      </c>
      <c r="F27" s="7" t="str">
        <f t="shared" si="10"/>
        <v>Dichotomous</v>
      </c>
      <c r="G27" s="7">
        <v>4</v>
      </c>
      <c r="H27" s="7" t="b">
        <f t="shared" si="11"/>
        <v>1</v>
      </c>
      <c r="J27" s="13" t="s">
        <v>325</v>
      </c>
      <c r="K27" s="14">
        <v>0</v>
      </c>
      <c r="L27" s="14">
        <v>0</v>
      </c>
      <c r="M27" s="14">
        <v>0</v>
      </c>
      <c r="N27" s="14">
        <v>0</v>
      </c>
      <c r="O27" s="14">
        <v>0</v>
      </c>
      <c r="P27" s="14">
        <v>0</v>
      </c>
      <c r="Q27" s="14">
        <v>0</v>
      </c>
      <c r="R27" s="14">
        <v>0</v>
      </c>
      <c r="S27" s="14">
        <v>0</v>
      </c>
      <c r="T27" s="14">
        <v>0</v>
      </c>
      <c r="U27" s="14">
        <v>0</v>
      </c>
      <c r="V27" s="14">
        <v>0</v>
      </c>
      <c r="W27" s="14">
        <v>0</v>
      </c>
      <c r="X27" s="14">
        <v>0</v>
      </c>
      <c r="Y27" s="14">
        <v>0</v>
      </c>
      <c r="Z27" s="14">
        <v>0</v>
      </c>
      <c r="AA27" s="14">
        <v>0</v>
      </c>
      <c r="AB27" s="14">
        <v>0</v>
      </c>
      <c r="AC27" s="14">
        <v>0</v>
      </c>
      <c r="AD27" s="14">
        <v>0</v>
      </c>
      <c r="AE27" s="14">
        <v>0</v>
      </c>
      <c r="AF27" s="14">
        <v>0</v>
      </c>
      <c r="AG27" s="14">
        <v>0</v>
      </c>
      <c r="AH27" s="14">
        <v>0</v>
      </c>
      <c r="AI27" s="14">
        <v>0</v>
      </c>
      <c r="AJ27" s="14">
        <v>0</v>
      </c>
      <c r="AK27" s="14">
        <v>0</v>
      </c>
      <c r="AL27" s="14">
        <v>0</v>
      </c>
      <c r="AM27" s="14">
        <v>0</v>
      </c>
      <c r="AN27" s="14">
        <v>0</v>
      </c>
      <c r="AO27" s="14">
        <v>0</v>
      </c>
      <c r="AP27" s="14">
        <v>0</v>
      </c>
      <c r="AQ27" s="14">
        <v>0</v>
      </c>
      <c r="AR27" s="14">
        <v>0</v>
      </c>
      <c r="AS27" s="14">
        <v>0</v>
      </c>
      <c r="AT27" s="14">
        <v>0</v>
      </c>
      <c r="AU27" s="14">
        <v>0</v>
      </c>
    </row>
    <row r="28" spans="2:47" x14ac:dyDescent="0.2">
      <c r="B28" s="7">
        <v>13</v>
      </c>
      <c r="C28" s="7">
        <f>IF(H28=TRUE,MAX($C$15:$C27)+1,"Not Valid")</f>
        <v>3</v>
      </c>
      <c r="D28" s="7" t="str">
        <f t="shared" si="8"/>
        <v>Logistic</v>
      </c>
      <c r="E28" s="7" t="str">
        <f t="shared" si="9"/>
        <v>Alternative: Probit-BgResponse</v>
      </c>
      <c r="F28" s="7" t="str">
        <f t="shared" si="10"/>
        <v>Dichotomous</v>
      </c>
      <c r="G28" s="7">
        <f t="shared" si="10"/>
        <v>2</v>
      </c>
      <c r="H28" s="7" t="b">
        <f t="shared" si="11"/>
        <v>1</v>
      </c>
      <c r="J28" s="13" t="s">
        <v>57</v>
      </c>
      <c r="K28" s="14" t="s">
        <v>63</v>
      </c>
      <c r="L28" s="14" t="s">
        <v>63</v>
      </c>
      <c r="M28" s="14" t="s">
        <v>63</v>
      </c>
      <c r="N28" s="14" t="s">
        <v>63</v>
      </c>
      <c r="O28" s="14" t="s">
        <v>63</v>
      </c>
      <c r="P28" s="14" t="s">
        <v>63</v>
      </c>
      <c r="Q28" s="14" t="s">
        <v>63</v>
      </c>
      <c r="R28" s="14" t="s">
        <v>63</v>
      </c>
      <c r="S28" s="14" t="s">
        <v>63</v>
      </c>
      <c r="T28" s="14" t="s">
        <v>63</v>
      </c>
      <c r="U28" s="5" t="s">
        <v>63</v>
      </c>
      <c r="V28" s="5" t="s">
        <v>63</v>
      </c>
      <c r="W28" s="5" t="s">
        <v>63</v>
      </c>
      <c r="X28" s="5" t="s">
        <v>63</v>
      </c>
      <c r="Y28" s="5" t="s">
        <v>63</v>
      </c>
      <c r="Z28" s="5" t="s">
        <v>63</v>
      </c>
      <c r="AA28" s="5" t="s">
        <v>63</v>
      </c>
      <c r="AB28" s="5" t="s">
        <v>63</v>
      </c>
      <c r="AC28" s="5" t="s">
        <v>63</v>
      </c>
      <c r="AD28" s="5" t="s">
        <v>63</v>
      </c>
      <c r="AE28" s="5" t="s">
        <v>63</v>
      </c>
      <c r="AF28" s="5" t="s">
        <v>63</v>
      </c>
      <c r="AG28" s="5" t="s">
        <v>63</v>
      </c>
      <c r="AH28" s="5" t="s">
        <v>63</v>
      </c>
      <c r="AI28" s="5" t="s">
        <v>63</v>
      </c>
      <c r="AJ28" s="5" t="s">
        <v>63</v>
      </c>
      <c r="AK28" s="5" t="s">
        <v>63</v>
      </c>
      <c r="AL28" s="5" t="s">
        <v>63</v>
      </c>
      <c r="AM28" s="5" t="s">
        <v>63</v>
      </c>
      <c r="AN28" s="5" t="s">
        <v>63</v>
      </c>
      <c r="AO28" s="5" t="s">
        <v>63</v>
      </c>
      <c r="AP28" s="5" t="s">
        <v>63</v>
      </c>
      <c r="AQ28" s="5" t="s">
        <v>63</v>
      </c>
      <c r="AR28" s="5" t="s">
        <v>63</v>
      </c>
      <c r="AS28" s="5" t="s">
        <v>63</v>
      </c>
      <c r="AT28" s="5" t="s">
        <v>63</v>
      </c>
      <c r="AU28" s="5" t="s">
        <v>63</v>
      </c>
    </row>
    <row r="29" spans="2:47" x14ac:dyDescent="0.2">
      <c r="B29" s="7">
        <v>14</v>
      </c>
      <c r="C29" s="7">
        <f>IF(H29=TRUE,MAX($C$15:$C28)+1,"Not Valid")</f>
        <v>4</v>
      </c>
      <c r="D29" s="7" t="str">
        <f t="shared" si="8"/>
        <v>LogLogistic</v>
      </c>
      <c r="E29" s="7" t="str">
        <f t="shared" si="9"/>
        <v>Alternative: Weibull-BgDose</v>
      </c>
      <c r="F29" s="7" t="str">
        <f t="shared" si="10"/>
        <v>Dichotomous</v>
      </c>
      <c r="G29" s="7">
        <f t="shared" si="10"/>
        <v>2</v>
      </c>
      <c r="H29" s="7" t="b">
        <f t="shared" si="11"/>
        <v>1</v>
      </c>
      <c r="J29" s="13" t="s">
        <v>326</v>
      </c>
      <c r="K29" s="5">
        <v>1</v>
      </c>
      <c r="L29" s="5">
        <v>1</v>
      </c>
      <c r="M29" s="5">
        <v>1</v>
      </c>
      <c r="N29" s="5">
        <v>1</v>
      </c>
      <c r="O29" s="5">
        <v>1</v>
      </c>
      <c r="P29" s="5">
        <v>1</v>
      </c>
      <c r="Q29" s="5">
        <v>1</v>
      </c>
      <c r="R29" s="5">
        <v>1</v>
      </c>
      <c r="S29" s="5">
        <v>1</v>
      </c>
      <c r="T29" s="5">
        <v>1</v>
      </c>
      <c r="U29" s="5">
        <v>0.1</v>
      </c>
      <c r="V29" s="5">
        <v>0.1</v>
      </c>
      <c r="W29" s="5">
        <v>0.1</v>
      </c>
      <c r="X29" s="5">
        <v>0.1</v>
      </c>
      <c r="Y29" s="5">
        <v>0.1</v>
      </c>
      <c r="Z29" s="5">
        <v>0.1</v>
      </c>
      <c r="AA29" s="5">
        <v>0.1</v>
      </c>
      <c r="AB29" s="5">
        <v>0.1</v>
      </c>
      <c r="AC29" s="5">
        <v>0.1</v>
      </c>
      <c r="AD29" s="5">
        <v>0.1</v>
      </c>
      <c r="AE29" s="5">
        <v>0.1</v>
      </c>
      <c r="AF29" s="5">
        <v>0.1</v>
      </c>
      <c r="AG29" s="5">
        <v>0.1</v>
      </c>
      <c r="AH29" s="5">
        <v>0.1</v>
      </c>
      <c r="AI29" s="5">
        <v>0.1</v>
      </c>
      <c r="AJ29" s="5">
        <v>0.1</v>
      </c>
      <c r="AK29" s="5">
        <v>0.1</v>
      </c>
      <c r="AL29" s="5">
        <v>0.1</v>
      </c>
      <c r="AM29" s="5">
        <v>0.1</v>
      </c>
      <c r="AN29" s="5">
        <v>0.1</v>
      </c>
      <c r="AO29" s="5">
        <v>0.1</v>
      </c>
      <c r="AP29" s="5">
        <v>0.1</v>
      </c>
      <c r="AQ29" s="5">
        <v>0.1</v>
      </c>
      <c r="AR29" s="5">
        <v>0.1</v>
      </c>
      <c r="AS29" s="5">
        <v>0.1</v>
      </c>
      <c r="AT29" s="5">
        <v>0.1</v>
      </c>
      <c r="AU29" s="5">
        <v>0.1</v>
      </c>
    </row>
    <row r="30" spans="2:47" x14ac:dyDescent="0.2">
      <c r="B30" s="7">
        <v>15</v>
      </c>
      <c r="C30" s="7">
        <f>IF(H30=TRUE,MAX($C$15:$C29)+1,"Not Valid")</f>
        <v>5</v>
      </c>
      <c r="D30" s="7" t="str">
        <f t="shared" si="8"/>
        <v>Probit</v>
      </c>
      <c r="E30" s="7" t="str">
        <f t="shared" si="9"/>
        <v>Alternative: Multistage-BgDose</v>
      </c>
      <c r="F30" s="7" t="str">
        <f t="shared" si="10"/>
        <v>Dichotomous</v>
      </c>
      <c r="G30" s="7">
        <f t="shared" si="10"/>
        <v>2</v>
      </c>
      <c r="H30" s="7" t="b">
        <f t="shared" si="11"/>
        <v>1</v>
      </c>
      <c r="J30" s="13" t="s">
        <v>46</v>
      </c>
      <c r="K30" s="5">
        <v>0.95</v>
      </c>
      <c r="L30" s="5">
        <v>0.95</v>
      </c>
      <c r="M30" s="5">
        <v>0.95</v>
      </c>
      <c r="N30" s="5">
        <v>0.95</v>
      </c>
      <c r="O30" s="5">
        <v>0.95</v>
      </c>
      <c r="P30" s="5">
        <v>0.95</v>
      </c>
      <c r="Q30" s="5">
        <v>0.95</v>
      </c>
      <c r="R30" s="5">
        <v>0.95</v>
      </c>
      <c r="S30" s="5">
        <v>0.95</v>
      </c>
      <c r="T30" s="5">
        <v>0.95</v>
      </c>
      <c r="U30" s="5">
        <v>0.95</v>
      </c>
      <c r="V30" s="5">
        <v>0.95</v>
      </c>
      <c r="W30" s="5">
        <v>0.95</v>
      </c>
      <c r="X30" s="5">
        <v>0.95</v>
      </c>
      <c r="Y30" s="5">
        <v>0.95</v>
      </c>
      <c r="Z30" s="5">
        <v>0.95</v>
      </c>
      <c r="AA30" s="5">
        <v>0.95</v>
      </c>
      <c r="AB30" s="5">
        <v>0.95</v>
      </c>
      <c r="AC30" s="5">
        <v>0.95</v>
      </c>
      <c r="AD30" s="5">
        <v>0.95</v>
      </c>
      <c r="AE30" s="5">
        <v>0.95</v>
      </c>
      <c r="AF30" s="5">
        <v>0.95</v>
      </c>
      <c r="AG30" s="5">
        <v>0.95</v>
      </c>
      <c r="AH30" s="5">
        <v>0.95</v>
      </c>
      <c r="AI30" s="5">
        <v>0.95</v>
      </c>
      <c r="AJ30" s="5">
        <v>0.95</v>
      </c>
      <c r="AK30" s="5">
        <v>0.95</v>
      </c>
      <c r="AL30" s="5">
        <v>0.95</v>
      </c>
      <c r="AM30" s="5">
        <v>0.95</v>
      </c>
      <c r="AN30" s="5">
        <v>0.95</v>
      </c>
      <c r="AO30" s="5">
        <v>0.95</v>
      </c>
      <c r="AP30" s="5">
        <v>0.95</v>
      </c>
      <c r="AQ30" s="5">
        <v>0.95</v>
      </c>
      <c r="AR30" s="5">
        <v>0.95</v>
      </c>
      <c r="AS30" s="5">
        <v>0.95</v>
      </c>
      <c r="AT30" s="5">
        <v>0.95</v>
      </c>
      <c r="AU30" s="5">
        <v>0.95</v>
      </c>
    </row>
    <row r="31" spans="2:47" x14ac:dyDescent="0.2">
      <c r="B31" s="7">
        <v>16</v>
      </c>
      <c r="C31" s="7">
        <f>IF(H31=TRUE,MAX($C$15:$C30)+1,"Not Valid")</f>
        <v>6</v>
      </c>
      <c r="D31" s="7" t="str">
        <f t="shared" si="8"/>
        <v>LogProbit</v>
      </c>
      <c r="E31" s="7" t="str">
        <f t="shared" si="9"/>
        <v>-</v>
      </c>
      <c r="F31" s="7" t="str">
        <f t="shared" si="10"/>
        <v>Dichotomous</v>
      </c>
      <c r="G31" s="7">
        <f t="shared" si="10"/>
        <v>2</v>
      </c>
      <c r="H31" s="7" t="b">
        <f t="shared" si="11"/>
        <v>1</v>
      </c>
      <c r="J31" s="13" t="s">
        <v>45</v>
      </c>
      <c r="K31" s="5" t="b">
        <v>1</v>
      </c>
      <c r="L31" s="5" t="b">
        <v>1</v>
      </c>
      <c r="M31" s="5" t="b">
        <v>1</v>
      </c>
      <c r="N31" s="5" t="b">
        <v>1</v>
      </c>
      <c r="O31" s="5" t="b">
        <v>1</v>
      </c>
      <c r="P31" s="5" t="b">
        <v>1</v>
      </c>
      <c r="Q31" s="5" t="b">
        <v>1</v>
      </c>
      <c r="R31" s="5" t="b">
        <v>1</v>
      </c>
      <c r="S31" s="5" t="b">
        <v>1</v>
      </c>
      <c r="T31" s="5" t="b">
        <v>1</v>
      </c>
      <c r="U31" s="5" t="b">
        <v>1</v>
      </c>
      <c r="V31" s="5" t="b">
        <v>1</v>
      </c>
      <c r="W31" s="5" t="b">
        <v>1</v>
      </c>
      <c r="X31" s="5" t="b">
        <v>1</v>
      </c>
      <c r="Y31" s="5" t="b">
        <v>1</v>
      </c>
      <c r="Z31" s="5" t="b">
        <v>1</v>
      </c>
      <c r="AA31" s="5" t="b">
        <v>1</v>
      </c>
      <c r="AB31" s="5" t="b">
        <v>1</v>
      </c>
      <c r="AC31" s="5" t="b">
        <v>1</v>
      </c>
      <c r="AD31" s="5" t="b">
        <v>1</v>
      </c>
      <c r="AE31" s="5" t="b">
        <v>1</v>
      </c>
      <c r="AF31" s="5" t="b">
        <v>1</v>
      </c>
      <c r="AG31" s="5" t="b">
        <v>1</v>
      </c>
      <c r="AH31" s="5" t="b">
        <v>1</v>
      </c>
      <c r="AI31" s="5" t="b">
        <v>1</v>
      </c>
      <c r="AJ31" s="5" t="b">
        <v>1</v>
      </c>
      <c r="AK31" s="5" t="b">
        <v>1</v>
      </c>
      <c r="AL31" s="5" t="b">
        <v>1</v>
      </c>
      <c r="AM31" s="5" t="b">
        <v>1</v>
      </c>
      <c r="AN31" s="5" t="b">
        <v>1</v>
      </c>
      <c r="AO31" s="5" t="b">
        <v>1</v>
      </c>
      <c r="AP31" s="5" t="b">
        <v>1</v>
      </c>
      <c r="AQ31" s="5" t="b">
        <v>1</v>
      </c>
      <c r="AR31" s="5" t="b">
        <v>1</v>
      </c>
      <c r="AS31" s="5" t="b">
        <v>1</v>
      </c>
      <c r="AT31" s="5" t="b">
        <v>1</v>
      </c>
      <c r="AU31" s="5" t="b">
        <v>1</v>
      </c>
    </row>
    <row r="32" spans="2:47" x14ac:dyDescent="0.2">
      <c r="B32" s="7">
        <v>17</v>
      </c>
      <c r="C32" s="7">
        <f>IF(H32=TRUE,MAX($C$15:$C31)+1,"Not Valid")</f>
        <v>7</v>
      </c>
      <c r="D32" s="7" t="str">
        <f t="shared" si="8"/>
        <v>Weibull</v>
      </c>
      <c r="E32" s="7" t="str">
        <f t="shared" si="9"/>
        <v>-</v>
      </c>
      <c r="F32" s="7" t="str">
        <f t="shared" si="10"/>
        <v>Dichotomous</v>
      </c>
      <c r="G32" s="7">
        <f t="shared" si="10"/>
        <v>2</v>
      </c>
      <c r="H32" s="7" t="b">
        <f t="shared" si="11"/>
        <v>1</v>
      </c>
      <c r="J32" s="13" t="s">
        <v>327</v>
      </c>
      <c r="K32" s="14" t="b">
        <v>0</v>
      </c>
      <c r="L32" s="14" t="b">
        <v>0</v>
      </c>
      <c r="M32" s="5" t="b">
        <v>0</v>
      </c>
      <c r="N32" s="5" t="b">
        <v>0</v>
      </c>
      <c r="O32" s="5" t="b">
        <v>0</v>
      </c>
      <c r="P32" s="14" t="b">
        <v>0</v>
      </c>
      <c r="Q32" s="14" t="b">
        <v>0</v>
      </c>
      <c r="R32" s="5" t="b">
        <v>0</v>
      </c>
      <c r="S32" s="5" t="b">
        <v>0</v>
      </c>
      <c r="T32" s="5" t="b">
        <v>0</v>
      </c>
      <c r="U32" s="5" t="b">
        <v>0</v>
      </c>
      <c r="V32" s="5" t="b">
        <v>0</v>
      </c>
      <c r="W32" s="5" t="b">
        <v>0</v>
      </c>
      <c r="X32" s="5" t="b">
        <v>0</v>
      </c>
      <c r="Y32" s="5" t="b">
        <v>0</v>
      </c>
      <c r="Z32" s="5" t="b">
        <v>0</v>
      </c>
      <c r="AA32" s="5" t="b">
        <v>0</v>
      </c>
      <c r="AB32" s="5" t="b">
        <v>0</v>
      </c>
      <c r="AC32" s="5" t="b">
        <v>0</v>
      </c>
      <c r="AD32" s="5" t="b">
        <v>0</v>
      </c>
      <c r="AE32" s="5" t="b">
        <v>0</v>
      </c>
      <c r="AF32" s="5" t="b">
        <v>0</v>
      </c>
      <c r="AG32" s="5" t="b">
        <v>0</v>
      </c>
      <c r="AH32" s="5" t="b">
        <v>0</v>
      </c>
      <c r="AI32" s="5" t="b">
        <v>0</v>
      </c>
      <c r="AJ32" s="5" t="b">
        <v>0</v>
      </c>
      <c r="AK32" s="5" t="b">
        <v>0</v>
      </c>
      <c r="AL32" s="5" t="b">
        <v>0</v>
      </c>
      <c r="AM32" s="5" t="b">
        <v>0</v>
      </c>
      <c r="AN32" s="5" t="b">
        <v>0</v>
      </c>
      <c r="AO32" s="5" t="b">
        <v>0</v>
      </c>
      <c r="AP32" s="5" t="b">
        <v>0</v>
      </c>
      <c r="AQ32" s="5" t="b">
        <v>0</v>
      </c>
      <c r="AR32" s="5" t="b">
        <v>0</v>
      </c>
      <c r="AS32" s="5" t="b">
        <v>0</v>
      </c>
      <c r="AT32" s="5" t="b">
        <v>0</v>
      </c>
      <c r="AU32" s="5" t="b">
        <v>0</v>
      </c>
    </row>
    <row r="33" spans="2:47" x14ac:dyDescent="0.2">
      <c r="B33" s="7">
        <v>18</v>
      </c>
      <c r="C33" s="7">
        <f>IF(H33=TRUE,MAX($C$15:$C32)+1,"Not Valid")</f>
        <v>8</v>
      </c>
      <c r="D33" s="7" t="str">
        <f t="shared" si="8"/>
        <v>QuantalLinear</v>
      </c>
      <c r="E33" s="7" t="str">
        <f t="shared" si="9"/>
        <v>-</v>
      </c>
      <c r="F33" s="7" t="str">
        <f t="shared" si="10"/>
        <v>Dichotomous</v>
      </c>
      <c r="G33" s="7">
        <f t="shared" si="10"/>
        <v>2</v>
      </c>
      <c r="H33" s="7" t="b">
        <f t="shared" si="11"/>
        <v>1</v>
      </c>
      <c r="J33" s="13" t="s">
        <v>56</v>
      </c>
      <c r="K33" s="14"/>
      <c r="L33" s="14"/>
      <c r="M33" s="14"/>
      <c r="N33" s="14"/>
      <c r="O33" s="14"/>
      <c r="P33" s="14"/>
      <c r="Q33" s="14"/>
      <c r="R33" s="14"/>
      <c r="S33" s="14"/>
      <c r="T33" s="14"/>
      <c r="U33" s="14"/>
      <c r="V33" s="14"/>
      <c r="W33" s="14"/>
      <c r="X33" s="14"/>
      <c r="Y33" s="14"/>
      <c r="Z33" s="14"/>
      <c r="AA33" s="14"/>
      <c r="AB33" s="14"/>
      <c r="AC33" s="14"/>
      <c r="AD33" s="14"/>
      <c r="AE33" s="14"/>
      <c r="AF33" s="14"/>
      <c r="AG33" s="14"/>
      <c r="AH33" s="14"/>
      <c r="AI33" s="14"/>
      <c r="AJ33" s="14"/>
      <c r="AK33" s="14"/>
      <c r="AL33" s="14"/>
      <c r="AM33" s="14"/>
      <c r="AN33" s="14"/>
      <c r="AO33" s="14"/>
      <c r="AP33" s="14"/>
      <c r="AQ33" s="14"/>
      <c r="AR33" s="14"/>
      <c r="AS33" s="5">
        <f>COUNTA(Data!$C$17:$C$41)</f>
        <v>4</v>
      </c>
      <c r="AT33" s="5">
        <f>COUNTA(Data!$C$17:$C$41)</f>
        <v>4</v>
      </c>
      <c r="AU33" s="5">
        <f>COUNTA(Data!$C$17:$C$41)</f>
        <v>4</v>
      </c>
    </row>
    <row r="34" spans="2:47" x14ac:dyDescent="0.2">
      <c r="B34" s="7">
        <v>19</v>
      </c>
      <c r="C34" s="7">
        <f>IF(H34=TRUE,MAX($C$15:$C33)+1,"Not Valid")</f>
        <v>9</v>
      </c>
      <c r="D34" s="7" t="str">
        <f t="shared" si="8"/>
        <v>Multistage 3</v>
      </c>
      <c r="E34" s="7" t="str">
        <f t="shared" si="9"/>
        <v>-</v>
      </c>
      <c r="F34" s="7" t="str">
        <f t="shared" si="10"/>
        <v>Dichotomous</v>
      </c>
      <c r="G34" s="7">
        <f t="shared" si="10"/>
        <v>2</v>
      </c>
      <c r="H34" s="7" t="b">
        <f t="shared" si="11"/>
        <v>1</v>
      </c>
      <c r="J34" s="13" t="s">
        <v>143</v>
      </c>
      <c r="K34" s="14">
        <v>0</v>
      </c>
      <c r="L34" s="14">
        <v>0</v>
      </c>
      <c r="M34" s="14">
        <v>0</v>
      </c>
      <c r="N34" s="14">
        <v>0</v>
      </c>
      <c r="O34" s="14">
        <v>0</v>
      </c>
      <c r="P34" s="14">
        <v>0</v>
      </c>
      <c r="Q34" s="14">
        <v>0</v>
      </c>
      <c r="R34" s="14">
        <v>0</v>
      </c>
      <c r="S34" s="14">
        <v>0</v>
      </c>
      <c r="T34" s="14">
        <v>0</v>
      </c>
      <c r="U34" s="14">
        <v>0</v>
      </c>
      <c r="V34" s="14">
        <v>0</v>
      </c>
      <c r="W34" s="14">
        <v>0</v>
      </c>
      <c r="X34" s="14">
        <v>1</v>
      </c>
      <c r="Y34" s="14">
        <v>0</v>
      </c>
      <c r="Z34" s="14">
        <v>1</v>
      </c>
      <c r="AA34" s="14">
        <v>0</v>
      </c>
      <c r="AB34" s="14">
        <v>0</v>
      </c>
      <c r="AC34" s="14">
        <v>0</v>
      </c>
      <c r="AD34" s="14">
        <v>0</v>
      </c>
      <c r="AE34" s="14">
        <v>0</v>
      </c>
      <c r="AF34" s="14">
        <v>1</v>
      </c>
      <c r="AG34" s="14">
        <v>0</v>
      </c>
      <c r="AH34" s="14">
        <v>0</v>
      </c>
      <c r="AI34" s="14">
        <v>0</v>
      </c>
      <c r="AJ34" s="14">
        <v>0</v>
      </c>
      <c r="AK34" s="14">
        <v>0</v>
      </c>
      <c r="AL34" s="14">
        <v>0</v>
      </c>
      <c r="AM34" s="14">
        <v>0</v>
      </c>
      <c r="AN34" s="14">
        <v>0</v>
      </c>
      <c r="AO34" s="14">
        <v>0</v>
      </c>
      <c r="AP34" s="14">
        <v>0</v>
      </c>
      <c r="AQ34" s="14">
        <v>0</v>
      </c>
      <c r="AR34" s="14">
        <v>0</v>
      </c>
      <c r="AS34" s="14">
        <v>0</v>
      </c>
      <c r="AT34" s="14">
        <v>0</v>
      </c>
      <c r="AU34" s="14">
        <v>0</v>
      </c>
    </row>
    <row r="35" spans="2:47" x14ac:dyDescent="0.2">
      <c r="B35" s="7">
        <v>20</v>
      </c>
      <c r="C35" s="7">
        <f>IF(H35=TRUE,MAX($C$15:$C34)+1,"Not Valid")</f>
        <v>10</v>
      </c>
      <c r="D35" s="7" t="str">
        <f t="shared" si="8"/>
        <v>Alternative: Gamma-BgDose</v>
      </c>
      <c r="E35" s="7" t="str">
        <f t="shared" si="9"/>
        <v>-</v>
      </c>
      <c r="F35" s="7" t="str">
        <f t="shared" si="10"/>
        <v>Dichotomous</v>
      </c>
      <c r="G35" s="7">
        <f t="shared" si="10"/>
        <v>2</v>
      </c>
      <c r="H35" s="7" t="b">
        <f t="shared" si="11"/>
        <v>1</v>
      </c>
      <c r="J35" s="13" t="s">
        <v>473</v>
      </c>
      <c r="K35" s="14" t="b">
        <v>0</v>
      </c>
      <c r="L35" s="14" t="b">
        <v>0</v>
      </c>
      <c r="M35" s="14" t="b">
        <v>0</v>
      </c>
      <c r="N35" s="14" t="b">
        <v>0</v>
      </c>
      <c r="O35" s="14" t="b">
        <v>0</v>
      </c>
      <c r="P35" s="14" t="b">
        <v>0</v>
      </c>
      <c r="Q35" s="14" t="b">
        <v>0</v>
      </c>
      <c r="R35" s="14" t="b">
        <v>0</v>
      </c>
      <c r="S35" s="14" t="b">
        <v>0</v>
      </c>
      <c r="T35" s="14" t="b">
        <v>0</v>
      </c>
      <c r="U35" s="14" t="b">
        <v>0</v>
      </c>
      <c r="V35" s="5" t="b">
        <v>1</v>
      </c>
      <c r="W35" s="14" t="b">
        <v>0</v>
      </c>
      <c r="X35" s="5" t="b">
        <v>1</v>
      </c>
      <c r="Y35" s="14" t="b">
        <v>0</v>
      </c>
      <c r="Z35" s="5" t="b">
        <v>1</v>
      </c>
      <c r="AA35" s="14" t="b">
        <v>0</v>
      </c>
      <c r="AB35" s="14" t="b">
        <v>0</v>
      </c>
      <c r="AC35" s="14" t="b">
        <v>0</v>
      </c>
      <c r="AD35" s="14" t="b">
        <v>0</v>
      </c>
      <c r="AE35" s="14" t="b">
        <v>0</v>
      </c>
      <c r="AF35" s="5" t="b">
        <v>1</v>
      </c>
      <c r="AG35" s="14" t="b">
        <v>0</v>
      </c>
      <c r="AH35" s="14" t="b">
        <v>0</v>
      </c>
      <c r="AI35" s="14" t="b">
        <v>0</v>
      </c>
      <c r="AJ35" s="14" t="b">
        <v>0</v>
      </c>
      <c r="AK35" s="14" t="b">
        <v>0</v>
      </c>
      <c r="AL35" s="14" t="b">
        <v>0</v>
      </c>
      <c r="AM35" s="14" t="b">
        <v>0</v>
      </c>
      <c r="AN35" s="14" t="b">
        <v>0</v>
      </c>
      <c r="AO35" s="14" t="b">
        <v>0</v>
      </c>
      <c r="AP35" s="14" t="b">
        <v>0</v>
      </c>
      <c r="AQ35" s="14" t="b">
        <v>0</v>
      </c>
      <c r="AR35" s="14" t="b">
        <v>0</v>
      </c>
      <c r="AS35" s="14" t="b">
        <v>0</v>
      </c>
      <c r="AT35" s="14" t="b">
        <v>0</v>
      </c>
      <c r="AU35" s="14" t="b">
        <v>0</v>
      </c>
    </row>
    <row r="36" spans="2:47" x14ac:dyDescent="0.2">
      <c r="B36" s="7">
        <v>21</v>
      </c>
      <c r="C36" s="7">
        <f>IF(H36=TRUE,MAX($C$15:$C35)+1,"Not Valid")</f>
        <v>11</v>
      </c>
      <c r="D36" s="7" t="str">
        <f t="shared" si="8"/>
        <v>Alternative: Logistic-BgResponse</v>
      </c>
      <c r="E36" s="7" t="str">
        <f t="shared" si="9"/>
        <v>-</v>
      </c>
      <c r="F36" s="7" t="str">
        <f t="shared" ref="F36:G52" si="14">INDEX(Tbl_ModelOptionFiles,MATCH(F$15,ModelOptionFile_ColList,FALSE),MATCH($D36,R_ModelOptionHeader,FALSE))</f>
        <v>Dichotomous</v>
      </c>
      <c r="G36" s="7">
        <f t="shared" si="14"/>
        <v>2</v>
      </c>
      <c r="H36" s="7" t="b">
        <f t="shared" si="11"/>
        <v>1</v>
      </c>
      <c r="J36" s="13" t="s">
        <v>549</v>
      </c>
      <c r="K36" s="14"/>
      <c r="L36" s="14"/>
      <c r="M36" s="14"/>
      <c r="N36" s="14"/>
      <c r="O36" s="14"/>
      <c r="P36" s="14"/>
      <c r="Q36" s="14"/>
      <c r="R36" s="14"/>
      <c r="S36" s="14"/>
      <c r="T36" s="14"/>
      <c r="U36" s="14"/>
      <c r="V36" s="14"/>
      <c r="W36" s="14"/>
      <c r="X36" s="14"/>
      <c r="Y36" s="14"/>
      <c r="Z36" s="14"/>
      <c r="AA36" s="5">
        <v>1</v>
      </c>
      <c r="AB36" s="14"/>
      <c r="AC36" s="14"/>
      <c r="AD36" s="14"/>
      <c r="AE36" s="14"/>
      <c r="AF36" s="14"/>
      <c r="AG36" s="14"/>
      <c r="AH36" s="14"/>
      <c r="AI36" s="14"/>
      <c r="AJ36" s="14"/>
      <c r="AK36" s="14"/>
      <c r="AL36" s="14"/>
      <c r="AM36" s="14"/>
      <c r="AN36" s="14"/>
      <c r="AO36" s="14"/>
      <c r="AP36" s="14"/>
      <c r="AQ36" s="14"/>
      <c r="AR36" s="14"/>
      <c r="AS36" s="14"/>
      <c r="AT36" s="14"/>
      <c r="AU36" s="14"/>
    </row>
    <row r="37" spans="2:47" x14ac:dyDescent="0.2">
      <c r="B37" s="7">
        <v>22</v>
      </c>
      <c r="C37" s="7">
        <f>IF(H37=TRUE,MAX($C$15:$C36)+1,"Not Valid")</f>
        <v>12</v>
      </c>
      <c r="D37" s="7" t="str">
        <f t="shared" si="8"/>
        <v>Alternative: LogProbit_BgDose</v>
      </c>
      <c r="E37" s="7" t="str">
        <f t="shared" si="9"/>
        <v>-</v>
      </c>
      <c r="F37" s="7" t="str">
        <f t="shared" si="14"/>
        <v>Dichotomous</v>
      </c>
      <c r="G37" s="7">
        <f t="shared" si="14"/>
        <v>2</v>
      </c>
      <c r="H37" s="7" t="b">
        <f t="shared" si="11"/>
        <v>1</v>
      </c>
      <c r="J37" s="13" t="s">
        <v>474</v>
      </c>
      <c r="K37" s="4" t="b">
        <v>1</v>
      </c>
      <c r="L37" s="14" t="b">
        <v>1</v>
      </c>
      <c r="M37" s="4" t="b">
        <v>1</v>
      </c>
      <c r="N37" s="14" t="b">
        <v>1</v>
      </c>
      <c r="O37" s="14" t="b">
        <v>1</v>
      </c>
      <c r="P37" s="4" t="b">
        <v>1</v>
      </c>
      <c r="Q37" s="14" t="b">
        <v>1</v>
      </c>
      <c r="R37" s="4" t="b">
        <v>1</v>
      </c>
      <c r="S37" s="14" t="b">
        <v>1</v>
      </c>
      <c r="T37" s="14" t="b">
        <v>1</v>
      </c>
      <c r="U37" s="5" t="b">
        <v>1</v>
      </c>
      <c r="V37" s="14" t="b">
        <v>1</v>
      </c>
      <c r="W37" s="14" t="b">
        <v>1</v>
      </c>
      <c r="X37" s="14" t="b">
        <v>1</v>
      </c>
      <c r="Y37" s="14" t="b">
        <v>1</v>
      </c>
      <c r="Z37" s="14" t="b">
        <v>1</v>
      </c>
      <c r="AA37" s="5" t="b">
        <v>1</v>
      </c>
      <c r="AB37" s="14" t="b">
        <v>1</v>
      </c>
      <c r="AC37" s="14" t="b">
        <v>1</v>
      </c>
      <c r="AD37" s="5" t="b">
        <v>1</v>
      </c>
      <c r="AE37" s="14" t="b">
        <v>1</v>
      </c>
      <c r="AF37" s="14" t="b">
        <v>1</v>
      </c>
      <c r="AG37" s="14" t="b">
        <v>1</v>
      </c>
      <c r="AH37" s="5" t="b">
        <v>1</v>
      </c>
      <c r="AI37" s="14" t="b">
        <v>1</v>
      </c>
      <c r="AJ37" s="14" t="b">
        <v>1</v>
      </c>
      <c r="AK37" s="14" t="b">
        <v>1</v>
      </c>
      <c r="AL37" s="14" t="b">
        <v>1</v>
      </c>
      <c r="AM37" s="14" t="b">
        <v>1</v>
      </c>
      <c r="AN37" s="14" t="b">
        <v>1</v>
      </c>
      <c r="AO37" s="14" t="b">
        <v>1</v>
      </c>
      <c r="AP37" s="14" t="b">
        <v>1</v>
      </c>
      <c r="AQ37" s="14" t="b">
        <v>1</v>
      </c>
      <c r="AR37" s="14" t="b">
        <v>1</v>
      </c>
      <c r="AS37" s="5" t="b">
        <v>1</v>
      </c>
      <c r="AT37" s="5" t="b">
        <v>1</v>
      </c>
      <c r="AU37" s="5" t="b">
        <v>1</v>
      </c>
    </row>
    <row r="38" spans="2:47" x14ac:dyDescent="0.2">
      <c r="B38" s="7">
        <v>23</v>
      </c>
      <c r="C38" s="7">
        <f>IF(H38=TRUE,MAX($C$15:$C37)+1,"Not Valid")</f>
        <v>13</v>
      </c>
      <c r="D38" s="7" t="str">
        <f t="shared" si="8"/>
        <v>Alternative: Probit-BgResponse</v>
      </c>
      <c r="E38" s="7" t="str">
        <f t="shared" si="9"/>
        <v>-</v>
      </c>
      <c r="F38" s="7" t="str">
        <f t="shared" si="14"/>
        <v>Dichotomous</v>
      </c>
      <c r="G38" s="7">
        <f t="shared" si="14"/>
        <v>2</v>
      </c>
      <c r="H38" s="7" t="b">
        <f t="shared" si="11"/>
        <v>1</v>
      </c>
      <c r="J38" s="13" t="s">
        <v>475</v>
      </c>
      <c r="K38" s="14" t="b">
        <v>0</v>
      </c>
      <c r="L38" s="14" t="b">
        <v>0</v>
      </c>
      <c r="M38" s="14" t="b">
        <v>0</v>
      </c>
      <c r="N38" s="14" t="b">
        <v>0</v>
      </c>
      <c r="O38" s="14" t="b">
        <v>0</v>
      </c>
      <c r="P38" s="14" t="b">
        <v>0</v>
      </c>
      <c r="Q38" s="14" t="b">
        <v>0</v>
      </c>
      <c r="R38" s="14" t="b">
        <v>0</v>
      </c>
      <c r="S38" s="14" t="b">
        <v>0</v>
      </c>
      <c r="T38" s="14" t="b">
        <v>0</v>
      </c>
      <c r="U38" s="14" t="b">
        <v>0</v>
      </c>
      <c r="V38" s="14" t="b">
        <v>0</v>
      </c>
      <c r="W38" s="14" t="b">
        <v>0</v>
      </c>
      <c r="X38" s="14" t="b">
        <v>0</v>
      </c>
      <c r="Y38" s="14" t="b">
        <v>0</v>
      </c>
      <c r="Z38" s="14" t="b">
        <v>0</v>
      </c>
      <c r="AA38" s="14" t="b">
        <v>0</v>
      </c>
      <c r="AB38" s="14" t="b">
        <v>0</v>
      </c>
      <c r="AC38" s="5" t="b">
        <v>1</v>
      </c>
      <c r="AD38" s="14" t="b">
        <v>0</v>
      </c>
      <c r="AE38" s="14" t="b">
        <v>0</v>
      </c>
      <c r="AF38" s="14" t="b">
        <v>0</v>
      </c>
      <c r="AG38" s="14" t="b">
        <v>0</v>
      </c>
      <c r="AH38" s="14" t="b">
        <v>0</v>
      </c>
      <c r="AI38" s="5" t="b">
        <v>1</v>
      </c>
      <c r="AJ38" s="14" t="b">
        <v>1</v>
      </c>
      <c r="AK38" s="14" t="b">
        <v>1</v>
      </c>
      <c r="AL38" s="14" t="b">
        <v>1</v>
      </c>
      <c r="AM38" s="14" t="b">
        <v>1</v>
      </c>
      <c r="AN38" s="14" t="b">
        <v>1</v>
      </c>
      <c r="AO38" s="14" t="b">
        <v>1</v>
      </c>
      <c r="AP38" s="14" t="b">
        <v>1</v>
      </c>
      <c r="AQ38" s="14" t="b">
        <v>1</v>
      </c>
      <c r="AR38" s="14" t="b">
        <v>1</v>
      </c>
      <c r="AS38" s="14" t="b">
        <v>0</v>
      </c>
      <c r="AT38" s="14" t="b">
        <v>0</v>
      </c>
      <c r="AU38" s="14" t="b">
        <v>0</v>
      </c>
    </row>
    <row r="39" spans="2:47" x14ac:dyDescent="0.2">
      <c r="B39" s="7">
        <v>24</v>
      </c>
      <c r="C39" s="7">
        <f>IF(H39=TRUE,MAX($C$15:$C38)+1,"Not Valid")</f>
        <v>14</v>
      </c>
      <c r="D39" s="7" t="str">
        <f t="shared" si="8"/>
        <v>Alternative: Weibull-BgDose</v>
      </c>
      <c r="E39" s="7" t="str">
        <f t="shared" si="9"/>
        <v>-</v>
      </c>
      <c r="F39" s="7" t="str">
        <f t="shared" si="14"/>
        <v>Dichotomous</v>
      </c>
      <c r="G39" s="7">
        <f t="shared" si="14"/>
        <v>2</v>
      </c>
      <c r="H39" s="7" t="b">
        <f t="shared" si="11"/>
        <v>1</v>
      </c>
      <c r="J39" s="13" t="s">
        <v>476</v>
      </c>
      <c r="K39" s="14" t="b">
        <v>1</v>
      </c>
      <c r="L39" s="4" t="b">
        <v>1</v>
      </c>
      <c r="M39" s="14" t="b">
        <v>1</v>
      </c>
      <c r="N39" s="14" t="b">
        <v>1</v>
      </c>
      <c r="O39" s="14" t="b">
        <v>1</v>
      </c>
      <c r="P39" s="14" t="b">
        <v>1</v>
      </c>
      <c r="Q39" s="4" t="b">
        <v>1</v>
      </c>
      <c r="R39" s="14" t="b">
        <v>1</v>
      </c>
      <c r="S39" s="14" t="b">
        <v>1</v>
      </c>
      <c r="T39" s="14" t="b">
        <v>1</v>
      </c>
      <c r="U39" s="14" t="b">
        <v>1</v>
      </c>
      <c r="V39" s="14" t="b">
        <v>1</v>
      </c>
      <c r="W39" s="14" t="b">
        <v>1</v>
      </c>
      <c r="X39" s="14" t="b">
        <v>1</v>
      </c>
      <c r="Y39" s="14" t="b">
        <v>1</v>
      </c>
      <c r="Z39" s="14" t="b">
        <v>1</v>
      </c>
      <c r="AA39" s="14" t="b">
        <v>1</v>
      </c>
      <c r="AB39" s="14" t="b">
        <v>1</v>
      </c>
      <c r="AC39" s="14" t="b">
        <v>1</v>
      </c>
      <c r="AD39" s="14" t="b">
        <v>1</v>
      </c>
      <c r="AE39" s="14" t="b">
        <v>1</v>
      </c>
      <c r="AF39" s="14" t="b">
        <v>1</v>
      </c>
      <c r="AG39" s="14" t="b">
        <v>1</v>
      </c>
      <c r="AH39" s="14" t="b">
        <v>1</v>
      </c>
      <c r="AI39" s="14" t="b">
        <v>1</v>
      </c>
      <c r="AJ39" s="14" t="b">
        <v>1</v>
      </c>
      <c r="AK39" s="14" t="b">
        <v>1</v>
      </c>
      <c r="AL39" s="14" t="b">
        <v>1</v>
      </c>
      <c r="AM39" s="14" t="b">
        <v>1</v>
      </c>
      <c r="AN39" s="14" t="b">
        <v>1</v>
      </c>
      <c r="AO39" s="14" t="b">
        <v>1</v>
      </c>
      <c r="AP39" s="14" t="b">
        <v>1</v>
      </c>
      <c r="AQ39" s="14" t="b">
        <v>1</v>
      </c>
      <c r="AR39" s="14" t="b">
        <v>1</v>
      </c>
      <c r="AS39" s="14" t="b">
        <v>1</v>
      </c>
      <c r="AT39" s="14" t="b">
        <v>1</v>
      </c>
      <c r="AU39" s="14" t="b">
        <v>1</v>
      </c>
    </row>
    <row r="40" spans="2:47" x14ac:dyDescent="0.2">
      <c r="B40" s="7">
        <v>25</v>
      </c>
      <c r="C40" s="7">
        <f>IF(H40=TRUE,MAX($C$15:$C39)+1,"Not Valid")</f>
        <v>15</v>
      </c>
      <c r="D40" s="7" t="str">
        <f t="shared" si="8"/>
        <v>Alternative: Multistage-BgDose</v>
      </c>
      <c r="E40" s="7" t="str">
        <f t="shared" si="9"/>
        <v>-</v>
      </c>
      <c r="F40" s="7" t="str">
        <f t="shared" si="14"/>
        <v>Dichotomous</v>
      </c>
      <c r="G40" s="7">
        <f t="shared" si="14"/>
        <v>2</v>
      </c>
      <c r="H40" s="7" t="b">
        <f t="shared" si="11"/>
        <v>1</v>
      </c>
      <c r="J40" s="13" t="s">
        <v>154</v>
      </c>
      <c r="K40" s="14">
        <v>1</v>
      </c>
      <c r="L40" s="14">
        <v>1</v>
      </c>
      <c r="M40" s="14">
        <v>1</v>
      </c>
      <c r="N40" s="14">
        <v>1</v>
      </c>
      <c r="O40" s="14">
        <v>1</v>
      </c>
      <c r="P40" s="14">
        <v>1</v>
      </c>
      <c r="Q40" s="14">
        <v>1</v>
      </c>
      <c r="R40" s="14">
        <v>1</v>
      </c>
      <c r="S40" s="14">
        <v>1</v>
      </c>
      <c r="T40" s="14">
        <v>1</v>
      </c>
      <c r="U40" s="14">
        <v>1</v>
      </c>
      <c r="V40" s="14">
        <v>1</v>
      </c>
      <c r="W40" s="14">
        <v>1</v>
      </c>
      <c r="X40" s="14">
        <v>1</v>
      </c>
      <c r="Y40" s="14">
        <v>1</v>
      </c>
      <c r="Z40" s="14">
        <v>1</v>
      </c>
      <c r="AA40" s="14">
        <v>1</v>
      </c>
      <c r="AB40" s="14">
        <v>1</v>
      </c>
      <c r="AC40" s="14">
        <v>1</v>
      </c>
      <c r="AD40" s="14">
        <v>1</v>
      </c>
      <c r="AE40" s="14">
        <v>1</v>
      </c>
      <c r="AF40" s="14">
        <v>1</v>
      </c>
      <c r="AG40" s="14">
        <v>1</v>
      </c>
      <c r="AH40" s="14">
        <v>1</v>
      </c>
      <c r="AI40" s="14">
        <v>1</v>
      </c>
      <c r="AJ40" s="14">
        <v>1</v>
      </c>
      <c r="AK40" s="14">
        <v>1</v>
      </c>
      <c r="AL40" s="14">
        <v>1</v>
      </c>
      <c r="AM40" s="14">
        <v>1</v>
      </c>
      <c r="AN40" s="14">
        <v>1</v>
      </c>
      <c r="AO40" s="14">
        <v>1</v>
      </c>
      <c r="AP40" s="14">
        <v>1</v>
      </c>
      <c r="AQ40" s="14">
        <v>1</v>
      </c>
      <c r="AR40" s="14">
        <v>1</v>
      </c>
      <c r="AS40" s="14">
        <v>1</v>
      </c>
      <c r="AT40" s="14">
        <v>1</v>
      </c>
      <c r="AU40" s="14">
        <v>1</v>
      </c>
    </row>
    <row r="41" spans="2:47" x14ac:dyDescent="0.2">
      <c r="B41" s="7">
        <v>26</v>
      </c>
      <c r="C41" s="7" t="str">
        <f>IF(H41=TRUE,MAX($C$15:$C40)+1,"Not Valid")</f>
        <v>Not Valid</v>
      </c>
      <c r="D41" s="7" t="str">
        <f t="shared" si="8"/>
        <v>MultistageCancer 8</v>
      </c>
      <c r="E41" s="7" t="str">
        <f t="shared" si="9"/>
        <v>-</v>
      </c>
      <c r="F41" s="7" t="str">
        <f t="shared" si="14"/>
        <v>Cancer Dichotomous</v>
      </c>
      <c r="G41" s="7">
        <f t="shared" si="14"/>
        <v>9</v>
      </c>
      <c r="H41" s="7" t="b">
        <f t="shared" si="11"/>
        <v>0</v>
      </c>
      <c r="J41" s="13" t="s">
        <v>49</v>
      </c>
      <c r="K41" s="14">
        <v>3</v>
      </c>
      <c r="L41" s="14">
        <v>3</v>
      </c>
      <c r="M41" s="14">
        <v>3</v>
      </c>
      <c r="N41" s="4">
        <f>Data_NumDG-1</f>
        <v>3</v>
      </c>
      <c r="O41" s="14">
        <v>1</v>
      </c>
      <c r="P41" s="14">
        <v>3</v>
      </c>
      <c r="Q41" s="14">
        <v>3</v>
      </c>
      <c r="R41" s="14">
        <v>3</v>
      </c>
      <c r="S41" s="4">
        <f>Data_NumDG-1</f>
        <v>3</v>
      </c>
      <c r="T41" s="14">
        <v>1</v>
      </c>
      <c r="U41" s="14">
        <v>2</v>
      </c>
      <c r="V41" s="14">
        <v>2</v>
      </c>
      <c r="W41" s="14">
        <v>2</v>
      </c>
      <c r="X41" s="14">
        <v>2</v>
      </c>
      <c r="Y41" s="14">
        <v>2</v>
      </c>
      <c r="Z41" s="14">
        <v>2</v>
      </c>
      <c r="AA41" s="14">
        <v>2</v>
      </c>
      <c r="AB41" s="14">
        <v>2</v>
      </c>
      <c r="AC41" s="5">
        <f>Data_NumDG-1</f>
        <v>3</v>
      </c>
      <c r="AD41" s="14">
        <v>2</v>
      </c>
      <c r="AE41" s="14">
        <v>2</v>
      </c>
      <c r="AF41" s="14">
        <v>2</v>
      </c>
      <c r="AG41" s="14">
        <v>2</v>
      </c>
      <c r="AH41" s="14">
        <v>2</v>
      </c>
      <c r="AI41" s="5">
        <f>Data_NumDG-1</f>
        <v>3</v>
      </c>
      <c r="AJ41" s="5">
        <v>8</v>
      </c>
      <c r="AK41" s="5">
        <v>7</v>
      </c>
      <c r="AL41" s="5">
        <v>6</v>
      </c>
      <c r="AM41" s="5">
        <v>5</v>
      </c>
      <c r="AN41" s="5">
        <v>4</v>
      </c>
      <c r="AO41" s="5">
        <v>3</v>
      </c>
      <c r="AP41" s="5">
        <v>2</v>
      </c>
      <c r="AQ41" s="5">
        <v>1</v>
      </c>
      <c r="AR41" s="5">
        <f>Data_NumDG-1</f>
        <v>3</v>
      </c>
      <c r="AS41" s="14">
        <v>2</v>
      </c>
      <c r="AT41" s="14">
        <v>2</v>
      </c>
      <c r="AU41" s="14">
        <v>2</v>
      </c>
    </row>
    <row r="42" spans="2:47" x14ac:dyDescent="0.2">
      <c r="B42" s="7">
        <v>27</v>
      </c>
      <c r="C42" s="7" t="str">
        <f>IF(H42=TRUE,MAX($C$15:$C41)+1,"Not Valid")</f>
        <v>Not Valid</v>
      </c>
      <c r="D42" s="7" t="str">
        <f t="shared" si="8"/>
        <v>MultistageCancer 7</v>
      </c>
      <c r="E42" s="7" t="str">
        <f t="shared" si="9"/>
        <v>-</v>
      </c>
      <c r="F42" s="7" t="str">
        <f t="shared" si="14"/>
        <v>Cancer Dichotomous</v>
      </c>
      <c r="G42" s="7">
        <f t="shared" si="14"/>
        <v>8</v>
      </c>
      <c r="H42" s="7" t="b">
        <f t="shared" si="11"/>
        <v>0</v>
      </c>
      <c r="J42" s="13" t="s">
        <v>159</v>
      </c>
      <c r="K42" s="14">
        <v>1</v>
      </c>
      <c r="L42" s="14">
        <v>1</v>
      </c>
      <c r="M42" s="14">
        <v>1</v>
      </c>
      <c r="N42" s="14">
        <v>1</v>
      </c>
      <c r="O42" s="14">
        <v>1</v>
      </c>
      <c r="P42" s="14">
        <v>1</v>
      </c>
      <c r="Q42" s="14">
        <v>1</v>
      </c>
      <c r="R42" s="14">
        <v>1</v>
      </c>
      <c r="S42" s="14">
        <v>1</v>
      </c>
      <c r="T42" s="14">
        <v>1</v>
      </c>
      <c r="U42" s="14">
        <v>1</v>
      </c>
      <c r="V42" s="14">
        <v>1</v>
      </c>
      <c r="W42" s="14">
        <v>1</v>
      </c>
      <c r="X42" s="14">
        <v>1</v>
      </c>
      <c r="Y42" s="14">
        <v>1</v>
      </c>
      <c r="Z42" s="14">
        <v>1</v>
      </c>
      <c r="AA42" s="14">
        <v>1</v>
      </c>
      <c r="AB42" s="14">
        <v>1</v>
      </c>
      <c r="AC42" s="14">
        <v>1</v>
      </c>
      <c r="AD42" s="14">
        <v>1</v>
      </c>
      <c r="AE42" s="14">
        <v>1</v>
      </c>
      <c r="AF42" s="14">
        <v>1</v>
      </c>
      <c r="AG42" s="14">
        <v>1</v>
      </c>
      <c r="AH42" s="14">
        <v>1</v>
      </c>
      <c r="AI42" s="14">
        <v>1</v>
      </c>
      <c r="AJ42" s="14">
        <v>1</v>
      </c>
      <c r="AK42" s="14">
        <v>1</v>
      </c>
      <c r="AL42" s="14">
        <v>1</v>
      </c>
      <c r="AM42" s="14">
        <v>1</v>
      </c>
      <c r="AN42" s="14">
        <v>1</v>
      </c>
      <c r="AO42" s="14">
        <v>1</v>
      </c>
      <c r="AP42" s="14">
        <v>1</v>
      </c>
      <c r="AQ42" s="14">
        <v>1</v>
      </c>
      <c r="AR42" s="14">
        <v>1</v>
      </c>
      <c r="AS42" s="14">
        <v>1</v>
      </c>
      <c r="AT42" s="14">
        <v>1</v>
      </c>
      <c r="AU42" s="14">
        <v>1</v>
      </c>
    </row>
    <row r="43" spans="2:47" x14ac:dyDescent="0.2">
      <c r="B43" s="7">
        <v>28</v>
      </c>
      <c r="C43" s="7" t="str">
        <f>IF(H43=TRUE,MAX($C$15:$C42)+1,"Not Valid")</f>
        <v>Not Valid</v>
      </c>
      <c r="D43" s="7" t="str">
        <f t="shared" si="8"/>
        <v>MultistageCancer 6</v>
      </c>
      <c r="E43" s="7" t="str">
        <f t="shared" si="9"/>
        <v>-</v>
      </c>
      <c r="F43" s="7" t="str">
        <f t="shared" si="14"/>
        <v>Cancer Dichotomous</v>
      </c>
      <c r="G43" s="7">
        <f t="shared" si="14"/>
        <v>7</v>
      </c>
      <c r="H43" s="7" t="b">
        <f t="shared" si="11"/>
        <v>0</v>
      </c>
      <c r="J43" s="13" t="s">
        <v>50</v>
      </c>
      <c r="K43" s="14" t="s">
        <v>64</v>
      </c>
      <c r="L43" s="14" t="s">
        <v>64</v>
      </c>
      <c r="M43" s="14" t="s">
        <v>64</v>
      </c>
      <c r="N43" s="5" t="str">
        <f ca="1">IF(Data_DRTrend="increasing","Non-negative","Non-positive")</f>
        <v>Non-positive</v>
      </c>
      <c r="O43" s="5" t="s">
        <v>64</v>
      </c>
      <c r="P43" s="14" t="s">
        <v>64</v>
      </c>
      <c r="Q43" s="14" t="s">
        <v>64</v>
      </c>
      <c r="R43" s="14" t="s">
        <v>64</v>
      </c>
      <c r="S43" s="5" t="str">
        <f ca="1">IF(Data_DRTrend="increasing","Non-negative","Non-positive")</f>
        <v>Non-positive</v>
      </c>
      <c r="T43" s="5" t="s">
        <v>64</v>
      </c>
      <c r="U43" s="14" t="s">
        <v>64</v>
      </c>
      <c r="V43" s="14" t="s">
        <v>64</v>
      </c>
      <c r="W43" s="14" t="s">
        <v>64</v>
      </c>
      <c r="X43" s="14" t="s">
        <v>64</v>
      </c>
      <c r="Y43" s="14" t="s">
        <v>64</v>
      </c>
      <c r="Z43" s="14" t="s">
        <v>64</v>
      </c>
      <c r="AA43" s="14" t="s">
        <v>64</v>
      </c>
      <c r="AB43" s="14" t="s">
        <v>64</v>
      </c>
      <c r="AC43" s="14" t="s">
        <v>64</v>
      </c>
      <c r="AD43" s="14" t="s">
        <v>64</v>
      </c>
      <c r="AE43" s="14" t="s">
        <v>64</v>
      </c>
      <c r="AF43" s="14" t="s">
        <v>64</v>
      </c>
      <c r="AG43" s="14" t="s">
        <v>64</v>
      </c>
      <c r="AH43" s="14" t="s">
        <v>64</v>
      </c>
      <c r="AI43" s="14" t="s">
        <v>64</v>
      </c>
      <c r="AJ43" s="14" t="s">
        <v>64</v>
      </c>
      <c r="AK43" s="14" t="s">
        <v>64</v>
      </c>
      <c r="AL43" s="14" t="s">
        <v>64</v>
      </c>
      <c r="AM43" s="14" t="s">
        <v>64</v>
      </c>
      <c r="AN43" s="14" t="s">
        <v>64</v>
      </c>
      <c r="AO43" s="14" t="s">
        <v>64</v>
      </c>
      <c r="AP43" s="14" t="s">
        <v>64</v>
      </c>
      <c r="AQ43" s="14" t="s">
        <v>64</v>
      </c>
      <c r="AR43" s="14" t="s">
        <v>64</v>
      </c>
      <c r="AS43" s="14" t="s">
        <v>64</v>
      </c>
      <c r="AT43" s="14" t="s">
        <v>64</v>
      </c>
      <c r="AU43" s="14" t="s">
        <v>64</v>
      </c>
    </row>
    <row r="44" spans="2:47" x14ac:dyDescent="0.2">
      <c r="B44" s="7">
        <v>29</v>
      </c>
      <c r="C44" s="7" t="str">
        <f>IF(H44=TRUE,MAX($C$15:$C43)+1,"Not Valid")</f>
        <v>Not Valid</v>
      </c>
      <c r="D44" s="7" t="str">
        <f t="shared" si="8"/>
        <v>MultistageCancer 5</v>
      </c>
      <c r="E44" s="7" t="str">
        <f t="shared" si="9"/>
        <v>-</v>
      </c>
      <c r="F44" s="7" t="str">
        <f t="shared" si="14"/>
        <v>Cancer Dichotomous</v>
      </c>
      <c r="G44" s="7">
        <f t="shared" si="14"/>
        <v>6</v>
      </c>
      <c r="H44" s="7" t="b">
        <f t="shared" si="11"/>
        <v>0</v>
      </c>
      <c r="J44" s="13" t="s">
        <v>47</v>
      </c>
      <c r="K44" s="5" t="str">
        <f ca="1">IF(Data_DRTrend="increasing","Up","Down")</f>
        <v>Down</v>
      </c>
      <c r="L44" s="5" t="s">
        <v>62</v>
      </c>
      <c r="M44" s="5" t="s">
        <v>62</v>
      </c>
      <c r="N44" s="5" t="s">
        <v>62</v>
      </c>
      <c r="O44" s="5" t="s">
        <v>62</v>
      </c>
      <c r="P44" s="5" t="str">
        <f ca="1">IF(Data_DRTrend="increasing","Up","Down")</f>
        <v>Down</v>
      </c>
      <c r="Q44" s="5" t="s">
        <v>62</v>
      </c>
      <c r="R44" s="5" t="s">
        <v>62</v>
      </c>
      <c r="S44" s="5" t="s">
        <v>62</v>
      </c>
      <c r="T44" s="5" t="s">
        <v>62</v>
      </c>
      <c r="U44" s="14" t="s">
        <v>62</v>
      </c>
      <c r="V44" s="14" t="s">
        <v>62</v>
      </c>
      <c r="W44" s="14" t="s">
        <v>62</v>
      </c>
      <c r="X44" s="14" t="s">
        <v>62</v>
      </c>
      <c r="Y44" s="14" t="s">
        <v>62</v>
      </c>
      <c r="Z44" s="14" t="s">
        <v>62</v>
      </c>
      <c r="AA44" s="14" t="s">
        <v>62</v>
      </c>
      <c r="AB44" s="14" t="s">
        <v>62</v>
      </c>
      <c r="AC44" s="14" t="s">
        <v>62</v>
      </c>
      <c r="AD44" s="14" t="s">
        <v>62</v>
      </c>
      <c r="AE44" s="14" t="s">
        <v>62</v>
      </c>
      <c r="AF44" s="14" t="s">
        <v>62</v>
      </c>
      <c r="AG44" s="14" t="s">
        <v>62</v>
      </c>
      <c r="AH44" s="14" t="s">
        <v>62</v>
      </c>
      <c r="AI44" s="14" t="s">
        <v>62</v>
      </c>
      <c r="AJ44" s="14" t="s">
        <v>62</v>
      </c>
      <c r="AK44" s="14" t="s">
        <v>62</v>
      </c>
      <c r="AL44" s="14" t="s">
        <v>62</v>
      </c>
      <c r="AM44" s="14" t="s">
        <v>62</v>
      </c>
      <c r="AN44" s="14" t="s">
        <v>62</v>
      </c>
      <c r="AO44" s="14" t="s">
        <v>62</v>
      </c>
      <c r="AP44" s="14" t="s">
        <v>62</v>
      </c>
      <c r="AQ44" s="14" t="s">
        <v>62</v>
      </c>
      <c r="AR44" s="14" t="s">
        <v>62</v>
      </c>
      <c r="AS44" s="14" t="s">
        <v>62</v>
      </c>
      <c r="AT44" s="14" t="s">
        <v>62</v>
      </c>
      <c r="AU44" s="14" t="s">
        <v>62</v>
      </c>
    </row>
    <row r="45" spans="2:47" x14ac:dyDescent="0.2">
      <c r="B45" s="7">
        <v>30</v>
      </c>
      <c r="C45" s="7" t="str">
        <f>IF(H45=TRUE,MAX($C$15:$C44)+1,"Not Valid")</f>
        <v>Not Valid</v>
      </c>
      <c r="D45" s="7" t="str">
        <f t="shared" si="8"/>
        <v>MultistageCancer 4</v>
      </c>
      <c r="E45" s="7" t="str">
        <f t="shared" si="9"/>
        <v>-</v>
      </c>
      <c r="F45" s="7" t="str">
        <f t="shared" si="14"/>
        <v>Cancer Dichotomous</v>
      </c>
      <c r="G45" s="7">
        <f t="shared" si="14"/>
        <v>5</v>
      </c>
      <c r="H45" s="7" t="b">
        <f t="shared" si="11"/>
        <v>0</v>
      </c>
      <c r="J45" s="13" t="s">
        <v>48</v>
      </c>
      <c r="K45" s="5" t="s">
        <v>167</v>
      </c>
      <c r="L45" s="5" t="s">
        <v>167</v>
      </c>
      <c r="M45" s="5" t="s">
        <v>167</v>
      </c>
      <c r="N45" s="5" t="s">
        <v>167</v>
      </c>
      <c r="O45" s="5" t="s">
        <v>167</v>
      </c>
      <c r="P45" s="5" t="s">
        <v>167</v>
      </c>
      <c r="Q45" s="5" t="s">
        <v>167</v>
      </c>
      <c r="R45" s="5" t="s">
        <v>167</v>
      </c>
      <c r="S45" s="5" t="s">
        <v>167</v>
      </c>
      <c r="T45" s="5" t="s">
        <v>167</v>
      </c>
      <c r="U45" s="14" t="s">
        <v>167</v>
      </c>
      <c r="V45" s="14" t="s">
        <v>167</v>
      </c>
      <c r="W45" s="14" t="s">
        <v>167</v>
      </c>
      <c r="X45" s="14" t="s">
        <v>167</v>
      </c>
      <c r="Y45" s="14" t="s">
        <v>167</v>
      </c>
      <c r="Z45" s="14" t="s">
        <v>167</v>
      </c>
      <c r="AA45" s="14" t="s">
        <v>167</v>
      </c>
      <c r="AB45" s="14" t="s">
        <v>167</v>
      </c>
      <c r="AC45" s="14" t="s">
        <v>167</v>
      </c>
      <c r="AD45" s="14" t="s">
        <v>167</v>
      </c>
      <c r="AE45" s="14" t="s">
        <v>167</v>
      </c>
      <c r="AF45" s="14" t="s">
        <v>167</v>
      </c>
      <c r="AG45" s="14" t="s">
        <v>167</v>
      </c>
      <c r="AH45" s="14" t="s">
        <v>167</v>
      </c>
      <c r="AI45" s="14" t="s">
        <v>167</v>
      </c>
      <c r="AJ45" s="14" t="s">
        <v>167</v>
      </c>
      <c r="AK45" s="14" t="s">
        <v>167</v>
      </c>
      <c r="AL45" s="14" t="s">
        <v>167</v>
      </c>
      <c r="AM45" s="14" t="s">
        <v>167</v>
      </c>
      <c r="AN45" s="14" t="s">
        <v>167</v>
      </c>
      <c r="AO45" s="14" t="s">
        <v>167</v>
      </c>
      <c r="AP45" s="14" t="s">
        <v>167</v>
      </c>
      <c r="AQ45" s="14" t="s">
        <v>167</v>
      </c>
      <c r="AR45" s="14" t="s">
        <v>167</v>
      </c>
      <c r="AS45" s="14" t="s">
        <v>167</v>
      </c>
      <c r="AT45" s="14" t="s">
        <v>167</v>
      </c>
      <c r="AU45" s="14" t="s">
        <v>167</v>
      </c>
    </row>
    <row r="46" spans="2:47" x14ac:dyDescent="0.2">
      <c r="B46" s="7">
        <v>31</v>
      </c>
      <c r="C46" s="7" t="str">
        <f>IF(H46=TRUE,MAX($C$15:$C45)+1,"Not Valid")</f>
        <v>Not Valid</v>
      </c>
      <c r="D46" s="7" t="str">
        <f t="shared" si="8"/>
        <v>MultistageCancer 3</v>
      </c>
      <c r="E46" s="7" t="str">
        <f t="shared" si="9"/>
        <v>-</v>
      </c>
      <c r="F46" s="7" t="str">
        <f t="shared" si="14"/>
        <v>Cancer Dichotomous</v>
      </c>
      <c r="G46" s="7">
        <f t="shared" si="14"/>
        <v>4</v>
      </c>
      <c r="H46" s="7" t="b">
        <f t="shared" si="11"/>
        <v>0</v>
      </c>
      <c r="J46" s="13" t="s">
        <v>462</v>
      </c>
      <c r="K46" s="5" t="b">
        <v>1</v>
      </c>
      <c r="L46" s="5" t="b">
        <v>1</v>
      </c>
      <c r="M46" s="5" t="b">
        <v>1</v>
      </c>
      <c r="N46" s="5" t="b">
        <v>1</v>
      </c>
      <c r="O46" s="5" t="b">
        <v>1</v>
      </c>
      <c r="P46" s="5" t="b">
        <v>0</v>
      </c>
      <c r="Q46" s="5" t="b">
        <v>0</v>
      </c>
      <c r="R46" s="5" t="b">
        <v>0</v>
      </c>
      <c r="S46" s="5" t="b">
        <v>0</v>
      </c>
      <c r="T46" s="5" t="b">
        <v>0</v>
      </c>
      <c r="U46" s="14" t="b">
        <v>1</v>
      </c>
      <c r="V46" s="14" t="b">
        <v>1</v>
      </c>
      <c r="W46" s="14" t="b">
        <v>1</v>
      </c>
      <c r="X46" s="14" t="b">
        <v>1</v>
      </c>
      <c r="Y46" s="14" t="b">
        <v>1</v>
      </c>
      <c r="Z46" s="14" t="b">
        <v>1</v>
      </c>
      <c r="AA46" s="14" t="b">
        <v>1</v>
      </c>
      <c r="AB46" s="14" t="b">
        <v>1</v>
      </c>
      <c r="AC46" s="14" t="b">
        <v>1</v>
      </c>
      <c r="AD46" s="14" t="b">
        <v>1</v>
      </c>
      <c r="AE46" s="14" t="b">
        <v>1</v>
      </c>
      <c r="AF46" s="14" t="b">
        <v>1</v>
      </c>
      <c r="AG46" s="14" t="b">
        <v>1</v>
      </c>
      <c r="AH46" s="14" t="b">
        <v>1</v>
      </c>
      <c r="AI46" s="14" t="b">
        <v>1</v>
      </c>
      <c r="AJ46" s="14" t="b">
        <v>1</v>
      </c>
      <c r="AK46" s="14" t="b">
        <v>1</v>
      </c>
      <c r="AL46" s="14" t="b">
        <v>1</v>
      </c>
      <c r="AM46" s="14" t="b">
        <v>1</v>
      </c>
      <c r="AN46" s="14" t="b">
        <v>1</v>
      </c>
      <c r="AO46" s="14" t="b">
        <v>1</v>
      </c>
      <c r="AP46" s="14" t="b">
        <v>1</v>
      </c>
      <c r="AQ46" s="14" t="b">
        <v>1</v>
      </c>
      <c r="AR46" s="14" t="b">
        <v>1</v>
      </c>
      <c r="AS46" s="14" t="b">
        <v>1</v>
      </c>
      <c r="AT46" s="14" t="b">
        <v>1</v>
      </c>
      <c r="AU46" s="14" t="b">
        <v>1</v>
      </c>
    </row>
    <row r="47" spans="2:47" x14ac:dyDescent="0.2">
      <c r="B47" s="7">
        <v>32</v>
      </c>
      <c r="C47" s="7" t="str">
        <f>IF(H47=TRUE,MAX($C$15:$C46)+1,"Not Valid")</f>
        <v>Not Valid</v>
      </c>
      <c r="D47" s="7" t="str">
        <f t="shared" si="8"/>
        <v>MultistageCancer 2</v>
      </c>
      <c r="E47" s="7" t="str">
        <f t="shared" si="9"/>
        <v>-</v>
      </c>
      <c r="F47" s="7" t="str">
        <f t="shared" si="14"/>
        <v>Cancer Dichotomous</v>
      </c>
      <c r="G47" s="7">
        <f t="shared" si="14"/>
        <v>3</v>
      </c>
      <c r="H47" s="7" t="b">
        <f t="shared" si="11"/>
        <v>0</v>
      </c>
      <c r="J47" s="13" t="s">
        <v>60</v>
      </c>
      <c r="K47" s="14" t="s">
        <v>65</v>
      </c>
      <c r="L47" s="14" t="s">
        <v>65</v>
      </c>
      <c r="M47" s="14" t="s">
        <v>65</v>
      </c>
      <c r="N47" s="14" t="s">
        <v>65</v>
      </c>
      <c r="O47" s="14" t="s">
        <v>65</v>
      </c>
      <c r="P47" s="14" t="s">
        <v>65</v>
      </c>
      <c r="Q47" s="14" t="s">
        <v>65</v>
      </c>
      <c r="R47" s="14" t="s">
        <v>65</v>
      </c>
      <c r="S47" s="14" t="s">
        <v>65</v>
      </c>
      <c r="T47" s="14" t="s">
        <v>65</v>
      </c>
      <c r="U47" s="14" t="s">
        <v>65</v>
      </c>
      <c r="V47" s="14" t="s">
        <v>65</v>
      </c>
      <c r="W47" s="14" t="s">
        <v>65</v>
      </c>
      <c r="X47" s="14" t="s">
        <v>65</v>
      </c>
      <c r="Y47" s="14" t="s">
        <v>65</v>
      </c>
      <c r="Z47" s="14" t="s">
        <v>65</v>
      </c>
      <c r="AA47" s="14" t="s">
        <v>65</v>
      </c>
      <c r="AB47" s="14" t="s">
        <v>65</v>
      </c>
      <c r="AC47" s="14" t="s">
        <v>65</v>
      </c>
      <c r="AD47" s="14" t="s">
        <v>65</v>
      </c>
      <c r="AE47" s="14" t="s">
        <v>65</v>
      </c>
      <c r="AF47" s="14" t="s">
        <v>65</v>
      </c>
      <c r="AG47" s="14" t="s">
        <v>65</v>
      </c>
      <c r="AH47" s="14" t="s">
        <v>65</v>
      </c>
      <c r="AI47" s="14" t="s">
        <v>65</v>
      </c>
      <c r="AJ47" s="14" t="s">
        <v>65</v>
      </c>
      <c r="AK47" s="14" t="s">
        <v>65</v>
      </c>
      <c r="AL47" s="14" t="s">
        <v>65</v>
      </c>
      <c r="AM47" s="14" t="s">
        <v>65</v>
      </c>
      <c r="AN47" s="14" t="s">
        <v>65</v>
      </c>
      <c r="AO47" s="14" t="s">
        <v>65</v>
      </c>
      <c r="AP47" s="14" t="s">
        <v>65</v>
      </c>
      <c r="AQ47" s="14" t="s">
        <v>65</v>
      </c>
      <c r="AR47" s="14" t="s">
        <v>65</v>
      </c>
      <c r="AS47" s="5" t="s">
        <v>65</v>
      </c>
      <c r="AT47" s="5" t="s">
        <v>65</v>
      </c>
      <c r="AU47" s="5" t="s">
        <v>65</v>
      </c>
    </row>
    <row r="48" spans="2:47" x14ac:dyDescent="0.2">
      <c r="B48" s="7">
        <v>33</v>
      </c>
      <c r="C48" s="7" t="str">
        <f>IF(H48=TRUE,MAX($C$15:$C47)+1,"Not Valid")</f>
        <v>Not Valid</v>
      </c>
      <c r="D48" s="7" t="str">
        <f>INDEX(R_ModelOptionHeader,B48+1)</f>
        <v>MultistageCancer 1</v>
      </c>
      <c r="E48" s="7" t="str">
        <f t="shared" si="9"/>
        <v>-</v>
      </c>
      <c r="F48" s="7" t="str">
        <f t="shared" si="14"/>
        <v>Cancer Dichotomous</v>
      </c>
      <c r="G48" s="7">
        <f t="shared" si="14"/>
        <v>2</v>
      </c>
      <c r="H48" s="7" t="b">
        <f t="shared" si="11"/>
        <v>0</v>
      </c>
      <c r="J48" s="13" t="s">
        <v>428</v>
      </c>
      <c r="K48" s="14" t="s">
        <v>66</v>
      </c>
      <c r="L48" s="14" t="s">
        <v>66</v>
      </c>
      <c r="M48" s="14" t="s">
        <v>66</v>
      </c>
      <c r="N48" s="14" t="s">
        <v>66</v>
      </c>
      <c r="O48" s="14" t="s">
        <v>66</v>
      </c>
      <c r="P48" s="14" t="s">
        <v>66</v>
      </c>
      <c r="Q48" s="14" t="s">
        <v>66</v>
      </c>
      <c r="R48" s="14" t="s">
        <v>66</v>
      </c>
      <c r="S48" s="14" t="s">
        <v>66</v>
      </c>
      <c r="T48" s="14" t="s">
        <v>66</v>
      </c>
      <c r="U48" s="14" t="s">
        <v>66</v>
      </c>
      <c r="V48" s="14" t="s">
        <v>66</v>
      </c>
      <c r="W48" s="14" t="s">
        <v>66</v>
      </c>
      <c r="X48" s="14" t="s">
        <v>66</v>
      </c>
      <c r="Y48" s="14" t="s">
        <v>66</v>
      </c>
      <c r="Z48" s="14" t="s">
        <v>66</v>
      </c>
      <c r="AA48" s="14" t="s">
        <v>66</v>
      </c>
      <c r="AB48" s="14" t="s">
        <v>66</v>
      </c>
      <c r="AC48" s="14" t="s">
        <v>66</v>
      </c>
      <c r="AD48" s="14" t="s">
        <v>66</v>
      </c>
      <c r="AE48" s="14" t="s">
        <v>66</v>
      </c>
      <c r="AF48" s="14" t="s">
        <v>66</v>
      </c>
      <c r="AG48" s="14" t="s">
        <v>66</v>
      </c>
      <c r="AH48" s="14" t="s">
        <v>66</v>
      </c>
      <c r="AI48" s="14" t="s">
        <v>66</v>
      </c>
      <c r="AJ48" s="14" t="s">
        <v>66</v>
      </c>
      <c r="AK48" s="14" t="s">
        <v>66</v>
      </c>
      <c r="AL48" s="14" t="s">
        <v>66</v>
      </c>
      <c r="AM48" s="14" t="s">
        <v>66</v>
      </c>
      <c r="AN48" s="14" t="s">
        <v>66</v>
      </c>
      <c r="AO48" s="14" t="s">
        <v>66</v>
      </c>
      <c r="AP48" s="14" t="s">
        <v>66</v>
      </c>
      <c r="AQ48" s="14" t="s">
        <v>66</v>
      </c>
      <c r="AR48" s="14" t="s">
        <v>66</v>
      </c>
      <c r="AS48" s="5" t="s">
        <v>66</v>
      </c>
      <c r="AT48" s="5" t="s">
        <v>66</v>
      </c>
      <c r="AU48" s="5" t="s">
        <v>66</v>
      </c>
    </row>
    <row r="49" spans="2:47" x14ac:dyDescent="0.2">
      <c r="B49" s="7">
        <v>34</v>
      </c>
      <c r="C49" s="7" t="str">
        <f>IF(H49=TRUE,MAX($C$15:$C48)+1,"Not Valid")</f>
        <v>Not Valid</v>
      </c>
      <c r="D49" s="7" t="str">
        <f>INDEX(R_ModelOptionHeader,B49+1)</f>
        <v>Alternative: MultistageCancer-BgDose</v>
      </c>
      <c r="E49" s="7" t="str">
        <f t="shared" si="9"/>
        <v>-</v>
      </c>
      <c r="F49" s="7" t="str">
        <f t="shared" si="14"/>
        <v>Cancer Dichotomous</v>
      </c>
      <c r="G49" s="7">
        <f t="shared" si="14"/>
        <v>3</v>
      </c>
      <c r="H49" s="7" t="b">
        <f t="shared" si="11"/>
        <v>0</v>
      </c>
      <c r="J49" s="13" t="s">
        <v>61</v>
      </c>
      <c r="K49" s="14" t="s">
        <v>67</v>
      </c>
      <c r="L49" s="14" t="s">
        <v>67</v>
      </c>
      <c r="M49" s="14" t="s">
        <v>67</v>
      </c>
      <c r="N49" s="14" t="s">
        <v>67</v>
      </c>
      <c r="O49" s="14" t="s">
        <v>67</v>
      </c>
      <c r="P49" s="14" t="s">
        <v>67</v>
      </c>
      <c r="Q49" s="14" t="s">
        <v>67</v>
      </c>
      <c r="R49" s="14" t="s">
        <v>67</v>
      </c>
      <c r="S49" s="14" t="s">
        <v>67</v>
      </c>
      <c r="T49" s="14" t="s">
        <v>67</v>
      </c>
      <c r="U49" s="14" t="s">
        <v>67</v>
      </c>
      <c r="V49" s="14" t="s">
        <v>67</v>
      </c>
      <c r="W49" s="14" t="s">
        <v>67</v>
      </c>
      <c r="X49" s="14" t="s">
        <v>67</v>
      </c>
      <c r="Y49" s="14" t="s">
        <v>67</v>
      </c>
      <c r="Z49" s="14" t="s">
        <v>67</v>
      </c>
      <c r="AA49" s="14" t="s">
        <v>67</v>
      </c>
      <c r="AB49" s="14" t="s">
        <v>67</v>
      </c>
      <c r="AC49" s="14" t="s">
        <v>67</v>
      </c>
      <c r="AD49" s="14" t="s">
        <v>67</v>
      </c>
      <c r="AE49" s="14" t="s">
        <v>67</v>
      </c>
      <c r="AF49" s="14" t="s">
        <v>67</v>
      </c>
      <c r="AG49" s="14" t="s">
        <v>67</v>
      </c>
      <c r="AH49" s="14" t="s">
        <v>67</v>
      </c>
      <c r="AI49" s="14" t="s">
        <v>67</v>
      </c>
      <c r="AJ49" s="14" t="s">
        <v>67</v>
      </c>
      <c r="AK49" s="14" t="s">
        <v>67</v>
      </c>
      <c r="AL49" s="14" t="s">
        <v>67</v>
      </c>
      <c r="AM49" s="14" t="s">
        <v>67</v>
      </c>
      <c r="AN49" s="14" t="s">
        <v>67</v>
      </c>
      <c r="AO49" s="14" t="s">
        <v>67</v>
      </c>
      <c r="AP49" s="14" t="s">
        <v>67</v>
      </c>
      <c r="AQ49" s="14" t="s">
        <v>67</v>
      </c>
      <c r="AR49" s="14" t="s">
        <v>67</v>
      </c>
      <c r="AS49" s="5" t="s">
        <v>67</v>
      </c>
      <c r="AT49" s="5" t="s">
        <v>67</v>
      </c>
      <c r="AU49" s="5" t="s">
        <v>67</v>
      </c>
    </row>
    <row r="50" spans="2:47" x14ac:dyDescent="0.2">
      <c r="B50" s="7">
        <v>35</v>
      </c>
      <c r="C50" s="7" t="str">
        <f>IF(H50=TRUE,MAX($C$15:$C49)+1,"Not Valid")</f>
        <v>Not Valid</v>
      </c>
      <c r="D50" s="7" t="str">
        <f>INDEX(R_ModelOptionHeader,B50+1)</f>
        <v>NestedLogistic</v>
      </c>
      <c r="E50" s="7" t="str">
        <f t="shared" si="9"/>
        <v>-</v>
      </c>
      <c r="F50" s="7" t="str">
        <f t="shared" si="14"/>
        <v>Nested Dichotomous</v>
      </c>
      <c r="G50" s="7" t="str">
        <f t="shared" si="14"/>
        <v>N/A</v>
      </c>
      <c r="H50" s="7" t="b">
        <f t="shared" si="11"/>
        <v>0</v>
      </c>
      <c r="J50" s="13" t="s">
        <v>170</v>
      </c>
      <c r="K50" s="14" t="s">
        <v>171</v>
      </c>
      <c r="L50" s="14" t="s">
        <v>171</v>
      </c>
      <c r="M50" s="14" t="s">
        <v>171</v>
      </c>
      <c r="N50" s="14" t="s">
        <v>171</v>
      </c>
      <c r="O50" s="14" t="s">
        <v>171</v>
      </c>
      <c r="P50" s="14" t="s">
        <v>171</v>
      </c>
      <c r="Q50" s="14" t="s">
        <v>171</v>
      </c>
      <c r="R50" s="14" t="s">
        <v>171</v>
      </c>
      <c r="S50" s="14" t="s">
        <v>171</v>
      </c>
      <c r="T50" s="14" t="s">
        <v>171</v>
      </c>
      <c r="U50" s="14" t="s">
        <v>171</v>
      </c>
      <c r="V50" s="14" t="s">
        <v>171</v>
      </c>
      <c r="W50" s="14" t="s">
        <v>171</v>
      </c>
      <c r="X50" s="14" t="s">
        <v>171</v>
      </c>
      <c r="Y50" s="14" t="s">
        <v>171</v>
      </c>
      <c r="Z50" s="14" t="s">
        <v>171</v>
      </c>
      <c r="AA50" s="14" t="s">
        <v>171</v>
      </c>
      <c r="AB50" s="14" t="s">
        <v>171</v>
      </c>
      <c r="AC50" s="14" t="s">
        <v>171</v>
      </c>
      <c r="AD50" s="14" t="s">
        <v>171</v>
      </c>
      <c r="AE50" s="14" t="s">
        <v>171</v>
      </c>
      <c r="AF50" s="14" t="s">
        <v>171</v>
      </c>
      <c r="AG50" s="14" t="s">
        <v>171</v>
      </c>
      <c r="AH50" s="14" t="s">
        <v>171</v>
      </c>
      <c r="AI50" s="14" t="s">
        <v>171</v>
      </c>
      <c r="AJ50" s="14" t="s">
        <v>171</v>
      </c>
      <c r="AK50" s="14" t="s">
        <v>171</v>
      </c>
      <c r="AL50" s="14" t="s">
        <v>171</v>
      </c>
      <c r="AM50" s="14" t="s">
        <v>171</v>
      </c>
      <c r="AN50" s="14" t="s">
        <v>171</v>
      </c>
      <c r="AO50" s="14" t="s">
        <v>171</v>
      </c>
      <c r="AP50" s="14" t="s">
        <v>171</v>
      </c>
      <c r="AQ50" s="14" t="s">
        <v>171</v>
      </c>
      <c r="AR50" s="14" t="s">
        <v>171</v>
      </c>
      <c r="AS50" s="14" t="s">
        <v>171</v>
      </c>
      <c r="AT50" s="14" t="s">
        <v>171</v>
      </c>
      <c r="AU50" s="14" t="s">
        <v>171</v>
      </c>
    </row>
    <row r="51" spans="2:47" x14ac:dyDescent="0.2">
      <c r="B51" s="7">
        <v>36</v>
      </c>
      <c r="C51" s="7" t="str">
        <f>IF(H51=TRUE,MAX($C$15:$C50)+1,"Not Valid")</f>
        <v>Not Valid</v>
      </c>
      <c r="D51" s="7" t="str">
        <f>INDEX(R_ModelOptionHeader,B51+1)</f>
        <v>NCTR</v>
      </c>
      <c r="E51" s="7" t="str">
        <f t="shared" si="9"/>
        <v>-</v>
      </c>
      <c r="F51" s="7" t="str">
        <f t="shared" si="14"/>
        <v>Nested Dichotomous</v>
      </c>
      <c r="G51" s="7" t="str">
        <f t="shared" si="14"/>
        <v>N/A</v>
      </c>
      <c r="H51" s="7" t="b">
        <f t="shared" si="11"/>
        <v>0</v>
      </c>
      <c r="J51" s="13" t="s">
        <v>328</v>
      </c>
      <c r="K51" s="14">
        <v>0.05</v>
      </c>
      <c r="L51" s="14">
        <v>0.05</v>
      </c>
      <c r="M51" s="14">
        <v>0.05</v>
      </c>
      <c r="N51" s="14">
        <v>0.05</v>
      </c>
      <c r="O51" s="14">
        <v>0.05</v>
      </c>
      <c r="P51" s="14">
        <v>0.05</v>
      </c>
      <c r="Q51" s="14">
        <v>0.05</v>
      </c>
      <c r="R51" s="14">
        <v>0.05</v>
      </c>
      <c r="S51" s="14">
        <v>0.05</v>
      </c>
      <c r="T51" s="14">
        <v>0.05</v>
      </c>
      <c r="U51" s="14">
        <v>0.05</v>
      </c>
      <c r="V51" s="14">
        <v>0.05</v>
      </c>
      <c r="W51" s="14">
        <v>0.05</v>
      </c>
      <c r="X51" s="14">
        <v>0.05</v>
      </c>
      <c r="Y51" s="14">
        <v>0.05</v>
      </c>
      <c r="Z51" s="14">
        <v>0.05</v>
      </c>
      <c r="AA51" s="14">
        <v>0.05</v>
      </c>
      <c r="AB51" s="14">
        <v>0.05</v>
      </c>
      <c r="AC51" s="14">
        <v>0.05</v>
      </c>
      <c r="AD51" s="14">
        <v>0.05</v>
      </c>
      <c r="AE51" s="14">
        <v>0.05</v>
      </c>
      <c r="AF51" s="14">
        <v>0.05</v>
      </c>
      <c r="AG51" s="14">
        <v>0.05</v>
      </c>
      <c r="AH51" s="14">
        <v>0.05</v>
      </c>
      <c r="AI51" s="14">
        <v>0.05</v>
      </c>
      <c r="AJ51" s="14">
        <v>0.05</v>
      </c>
      <c r="AK51" s="14">
        <v>0.05</v>
      </c>
      <c r="AL51" s="14">
        <v>0.05</v>
      </c>
      <c r="AM51" s="14">
        <v>0.05</v>
      </c>
      <c r="AN51" s="14">
        <v>0.05</v>
      </c>
      <c r="AO51" s="14">
        <v>0.05</v>
      </c>
      <c r="AP51" s="14">
        <v>0.05</v>
      </c>
      <c r="AQ51" s="14">
        <v>0.05</v>
      </c>
      <c r="AR51" s="14">
        <v>0.05</v>
      </c>
      <c r="AS51" s="14">
        <v>0.05</v>
      </c>
      <c r="AT51" s="14">
        <v>0.05</v>
      </c>
      <c r="AU51" s="14">
        <v>0.05</v>
      </c>
    </row>
    <row r="52" spans="2:47" x14ac:dyDescent="0.2">
      <c r="B52" s="7">
        <v>37</v>
      </c>
      <c r="C52" s="7" t="str">
        <f>IF(H52=TRUE,MAX($C$15:$C51)+1,"Not Valid")</f>
        <v>Not Valid</v>
      </c>
      <c r="D52" s="7" t="str">
        <f>INDEX(R_ModelOptionHeader,B52+1)</f>
        <v>Rai-Van-Ryzin</v>
      </c>
      <c r="E52" s="7" t="str">
        <f t="shared" si="9"/>
        <v>-</v>
      </c>
      <c r="F52" s="7" t="str">
        <f t="shared" si="14"/>
        <v>Nested Dichotomous</v>
      </c>
      <c r="G52" s="7" t="str">
        <f t="shared" si="14"/>
        <v>N/A</v>
      </c>
      <c r="H52" s="7" t="b">
        <f t="shared" si="11"/>
        <v>0</v>
      </c>
      <c r="J52" s="13" t="s">
        <v>47</v>
      </c>
      <c r="K52" s="14" t="s">
        <v>15</v>
      </c>
      <c r="L52" s="14" t="s">
        <v>15</v>
      </c>
      <c r="M52" s="14" t="s">
        <v>15</v>
      </c>
      <c r="N52" s="14" t="s">
        <v>15</v>
      </c>
      <c r="O52" s="14" t="s">
        <v>15</v>
      </c>
      <c r="P52" s="14" t="s">
        <v>15</v>
      </c>
      <c r="Q52" s="14" t="s">
        <v>15</v>
      </c>
      <c r="R52" s="14" t="s">
        <v>15</v>
      </c>
      <c r="S52" s="14" t="s">
        <v>15</v>
      </c>
      <c r="T52" s="14" t="s">
        <v>15</v>
      </c>
      <c r="U52" s="14" t="s">
        <v>15</v>
      </c>
      <c r="V52" s="14" t="s">
        <v>15</v>
      </c>
      <c r="W52" s="14" t="s">
        <v>15</v>
      </c>
      <c r="X52" s="14" t="s">
        <v>15</v>
      </c>
      <c r="Y52" s="14" t="s">
        <v>15</v>
      </c>
      <c r="Z52" s="14" t="s">
        <v>15</v>
      </c>
      <c r="AA52" s="14" t="s">
        <v>15</v>
      </c>
      <c r="AB52" s="14" t="s">
        <v>15</v>
      </c>
      <c r="AC52" s="14" t="s">
        <v>15</v>
      </c>
      <c r="AD52" s="14" t="s">
        <v>15</v>
      </c>
      <c r="AE52" s="14" t="s">
        <v>15</v>
      </c>
      <c r="AF52" s="14" t="s">
        <v>15</v>
      </c>
      <c r="AG52" s="14" t="s">
        <v>15</v>
      </c>
      <c r="AH52" s="14" t="s">
        <v>15</v>
      </c>
      <c r="AI52" s="14" t="s">
        <v>15</v>
      </c>
      <c r="AJ52" s="14" t="s">
        <v>15</v>
      </c>
      <c r="AK52" s="14" t="s">
        <v>15</v>
      </c>
      <c r="AL52" s="14" t="s">
        <v>15</v>
      </c>
      <c r="AM52" s="14" t="s">
        <v>15</v>
      </c>
      <c r="AN52" s="14" t="s">
        <v>15</v>
      </c>
      <c r="AO52" s="14" t="s">
        <v>15</v>
      </c>
      <c r="AP52" s="14" t="s">
        <v>15</v>
      </c>
      <c r="AQ52" s="14" t="s">
        <v>15</v>
      </c>
      <c r="AR52" s="14" t="s">
        <v>15</v>
      </c>
      <c r="AS52" s="14" t="s">
        <v>15</v>
      </c>
      <c r="AT52" s="14" t="s">
        <v>15</v>
      </c>
      <c r="AU52" s="14" t="s">
        <v>15</v>
      </c>
    </row>
    <row r="53" spans="2:47" x14ac:dyDescent="0.2">
      <c r="J53" s="13" t="s">
        <v>329</v>
      </c>
      <c r="K53" s="14" t="s">
        <v>16</v>
      </c>
      <c r="L53" s="14" t="s">
        <v>16</v>
      </c>
      <c r="M53" s="14" t="s">
        <v>16</v>
      </c>
      <c r="N53" s="14" t="s">
        <v>16</v>
      </c>
      <c r="O53" s="14" t="s">
        <v>16</v>
      </c>
      <c r="P53" s="14" t="s">
        <v>16</v>
      </c>
      <c r="Q53" s="14" t="s">
        <v>16</v>
      </c>
      <c r="R53" s="14" t="s">
        <v>16</v>
      </c>
      <c r="S53" s="14" t="s">
        <v>16</v>
      </c>
      <c r="T53" s="14" t="s">
        <v>16</v>
      </c>
      <c r="U53" s="14" t="s">
        <v>16</v>
      </c>
      <c r="V53" s="14" t="s">
        <v>16</v>
      </c>
      <c r="W53" s="14" t="s">
        <v>16</v>
      </c>
      <c r="X53" s="14" t="s">
        <v>16</v>
      </c>
      <c r="Y53" s="14" t="s">
        <v>16</v>
      </c>
      <c r="Z53" s="14" t="s">
        <v>16</v>
      </c>
      <c r="AA53" s="14" t="s">
        <v>16</v>
      </c>
      <c r="AB53" s="14" t="s">
        <v>16</v>
      </c>
      <c r="AC53" s="14" t="s">
        <v>16</v>
      </c>
      <c r="AD53" s="14" t="s">
        <v>16</v>
      </c>
      <c r="AE53" s="14" t="s">
        <v>16</v>
      </c>
      <c r="AF53" s="14" t="s">
        <v>16</v>
      </c>
      <c r="AG53" s="14" t="s">
        <v>16</v>
      </c>
      <c r="AH53" s="14" t="s">
        <v>16</v>
      </c>
      <c r="AI53" s="14" t="s">
        <v>16</v>
      </c>
      <c r="AJ53" s="14" t="s">
        <v>16</v>
      </c>
      <c r="AK53" s="14" t="s">
        <v>16</v>
      </c>
      <c r="AL53" s="14" t="s">
        <v>16</v>
      </c>
      <c r="AM53" s="14" t="s">
        <v>16</v>
      </c>
      <c r="AN53" s="14" t="s">
        <v>16</v>
      </c>
      <c r="AO53" s="14" t="s">
        <v>16</v>
      </c>
      <c r="AP53" s="14" t="s">
        <v>16</v>
      </c>
      <c r="AQ53" s="14" t="s">
        <v>16</v>
      </c>
      <c r="AR53" s="14" t="s">
        <v>16</v>
      </c>
      <c r="AS53" s="14" t="s">
        <v>16</v>
      </c>
      <c r="AT53" s="14" t="s">
        <v>16</v>
      </c>
      <c r="AU53" s="14" t="s">
        <v>16</v>
      </c>
    </row>
    <row r="54" spans="2:47" x14ac:dyDescent="0.2">
      <c r="J54" s="13" t="s">
        <v>330</v>
      </c>
      <c r="K54" s="14">
        <v>0.05</v>
      </c>
      <c r="L54" s="14">
        <v>0.05</v>
      </c>
      <c r="M54" s="14">
        <v>0.05</v>
      </c>
      <c r="N54" s="14">
        <v>0.05</v>
      </c>
      <c r="O54" s="14">
        <v>0.05</v>
      </c>
      <c r="P54" s="14">
        <v>0.05</v>
      </c>
      <c r="Q54" s="14">
        <v>0.05</v>
      </c>
      <c r="R54" s="14">
        <v>0.05</v>
      </c>
      <c r="S54" s="14">
        <v>0.05</v>
      </c>
      <c r="T54" s="14">
        <v>0.05</v>
      </c>
      <c r="U54" s="14">
        <v>0.05</v>
      </c>
      <c r="V54" s="14">
        <v>0.05</v>
      </c>
      <c r="W54" s="14">
        <v>0.05</v>
      </c>
      <c r="X54" s="14">
        <v>0.05</v>
      </c>
      <c r="Y54" s="14">
        <v>0.05</v>
      </c>
      <c r="Z54" s="14">
        <v>0.05</v>
      </c>
      <c r="AA54" s="14">
        <v>0.05</v>
      </c>
      <c r="AB54" s="14">
        <v>0.05</v>
      </c>
      <c r="AC54" s="14">
        <v>0.05</v>
      </c>
      <c r="AD54" s="14">
        <v>0.05</v>
      </c>
      <c r="AE54" s="14">
        <v>0.05</v>
      </c>
      <c r="AF54" s="14">
        <v>0.05</v>
      </c>
      <c r="AG54" s="14">
        <v>0.05</v>
      </c>
      <c r="AH54" s="14">
        <v>0.05</v>
      </c>
      <c r="AI54" s="14">
        <v>0.05</v>
      </c>
      <c r="AJ54" s="14">
        <v>0.05</v>
      </c>
      <c r="AK54" s="14">
        <v>0.05</v>
      </c>
      <c r="AL54" s="14">
        <v>0.05</v>
      </c>
      <c r="AM54" s="14">
        <v>0.05</v>
      </c>
      <c r="AN54" s="14">
        <v>0.05</v>
      </c>
      <c r="AO54" s="14">
        <v>0.05</v>
      </c>
      <c r="AP54" s="14">
        <v>0.05</v>
      </c>
      <c r="AQ54" s="14">
        <v>0.05</v>
      </c>
      <c r="AR54" s="14">
        <v>0.05</v>
      </c>
      <c r="AS54" s="14">
        <v>0.05</v>
      </c>
      <c r="AT54" s="14">
        <v>0.05</v>
      </c>
      <c r="AU54" s="14">
        <v>0.05</v>
      </c>
    </row>
    <row r="55" spans="2:47" x14ac:dyDescent="0.2">
      <c r="J55" s="13" t="s">
        <v>331</v>
      </c>
      <c r="K55" s="14">
        <v>-9999</v>
      </c>
      <c r="L55" s="14">
        <v>-9999</v>
      </c>
      <c r="M55" s="14">
        <v>-9999</v>
      </c>
      <c r="N55" s="14">
        <v>-9999</v>
      </c>
      <c r="O55" s="14">
        <v>-9999</v>
      </c>
      <c r="P55" s="14">
        <v>-9999</v>
      </c>
      <c r="Q55" s="14">
        <v>-9999</v>
      </c>
      <c r="R55" s="14">
        <v>-9999</v>
      </c>
      <c r="S55" s="14">
        <v>-9999</v>
      </c>
      <c r="T55" s="14">
        <v>-9999</v>
      </c>
      <c r="U55" s="14">
        <v>-9999</v>
      </c>
      <c r="V55" s="14">
        <v>-9999</v>
      </c>
      <c r="W55" s="14">
        <v>-9999</v>
      </c>
      <c r="X55" s="14">
        <v>-9999</v>
      </c>
      <c r="Y55" s="14">
        <v>-9999</v>
      </c>
      <c r="Z55" s="14">
        <v>-9999</v>
      </c>
      <c r="AA55" s="14">
        <v>-9999</v>
      </c>
      <c r="AB55" s="14">
        <v>-9999</v>
      </c>
      <c r="AC55" s="14">
        <v>-9999</v>
      </c>
      <c r="AD55" s="14">
        <v>-9999</v>
      </c>
      <c r="AE55" s="14">
        <v>-9999</v>
      </c>
      <c r="AF55" s="14">
        <v>-9999</v>
      </c>
      <c r="AG55" s="14">
        <v>-9999</v>
      </c>
      <c r="AH55" s="14">
        <v>-9999</v>
      </c>
      <c r="AI55" s="14">
        <v>-9999</v>
      </c>
      <c r="AJ55" s="14">
        <v>-9999</v>
      </c>
      <c r="AK55" s="14">
        <v>-9999</v>
      </c>
      <c r="AL55" s="14">
        <v>-9999</v>
      </c>
      <c r="AM55" s="14">
        <v>-9999</v>
      </c>
      <c r="AN55" s="14">
        <v>-9999</v>
      </c>
      <c r="AO55" s="14">
        <v>-9999</v>
      </c>
      <c r="AP55" s="14">
        <v>-9999</v>
      </c>
      <c r="AQ55" s="14">
        <v>-9999</v>
      </c>
      <c r="AR55" s="14">
        <v>-9999</v>
      </c>
      <c r="AS55" s="14">
        <v>-9999</v>
      </c>
      <c r="AT55" s="14">
        <v>-9999</v>
      </c>
      <c r="AU55" s="14">
        <v>-9999</v>
      </c>
    </row>
    <row r="56" spans="2:47" x14ac:dyDescent="0.2">
      <c r="J56" s="13" t="s">
        <v>332</v>
      </c>
      <c r="K56" s="14">
        <v>-9999</v>
      </c>
      <c r="L56" s="14">
        <v>-9999</v>
      </c>
      <c r="M56" s="14">
        <v>-9999</v>
      </c>
      <c r="N56" s="14">
        <v>-9999</v>
      </c>
      <c r="O56" s="14">
        <v>-9999</v>
      </c>
      <c r="P56" s="14">
        <v>-9999</v>
      </c>
      <c r="Q56" s="14">
        <v>-9999</v>
      </c>
      <c r="R56" s="14">
        <v>-9999</v>
      </c>
      <c r="S56" s="14">
        <v>-9999</v>
      </c>
      <c r="T56" s="14">
        <v>-9999</v>
      </c>
      <c r="U56" s="14">
        <v>-9999</v>
      </c>
      <c r="V56" s="14">
        <v>-9999</v>
      </c>
      <c r="W56" s="14">
        <v>-9999</v>
      </c>
      <c r="X56" s="14">
        <v>-9999</v>
      </c>
      <c r="Y56" s="14">
        <v>-9999</v>
      </c>
      <c r="Z56" s="14">
        <v>-9999</v>
      </c>
      <c r="AA56" s="14">
        <v>-9999</v>
      </c>
      <c r="AB56" s="14">
        <v>-9999</v>
      </c>
      <c r="AC56" s="14">
        <v>-9999</v>
      </c>
      <c r="AD56" s="14">
        <v>-9999</v>
      </c>
      <c r="AE56" s="14">
        <v>-9999</v>
      </c>
      <c r="AF56" s="14">
        <v>-9999</v>
      </c>
      <c r="AG56" s="14">
        <v>-9999</v>
      </c>
      <c r="AH56" s="14">
        <v>-9999</v>
      </c>
      <c r="AI56" s="14">
        <v>-9999</v>
      </c>
      <c r="AJ56" s="14">
        <v>-9999</v>
      </c>
      <c r="AK56" s="14">
        <v>-9999</v>
      </c>
      <c r="AL56" s="14">
        <v>-9999</v>
      </c>
      <c r="AM56" s="14">
        <v>-9999</v>
      </c>
      <c r="AN56" s="14">
        <v>-9999</v>
      </c>
      <c r="AO56" s="14">
        <v>-9999</v>
      </c>
      <c r="AP56" s="14">
        <v>-9999</v>
      </c>
      <c r="AQ56" s="14">
        <v>-9999</v>
      </c>
      <c r="AR56" s="14">
        <v>-9999</v>
      </c>
      <c r="AS56" s="14">
        <v>-9999</v>
      </c>
      <c r="AT56" s="14">
        <v>-9999</v>
      </c>
      <c r="AU56" s="14">
        <v>-9999</v>
      </c>
    </row>
    <row r="57" spans="2:47" x14ac:dyDescent="0.2">
      <c r="J57" s="13" t="s">
        <v>333</v>
      </c>
      <c r="K57" s="14" t="b">
        <v>0</v>
      </c>
      <c r="L57" s="14" t="b">
        <v>0</v>
      </c>
      <c r="M57" s="14" t="b">
        <v>0</v>
      </c>
      <c r="N57" s="14" t="b">
        <v>0</v>
      </c>
      <c r="O57" s="14" t="b">
        <v>0</v>
      </c>
      <c r="P57" s="14" t="b">
        <v>0</v>
      </c>
      <c r="Q57" s="14" t="b">
        <v>0</v>
      </c>
      <c r="R57" s="14" t="b">
        <v>0</v>
      </c>
      <c r="S57" s="14" t="b">
        <v>0</v>
      </c>
      <c r="T57" s="14" t="b">
        <v>0</v>
      </c>
      <c r="U57" s="14" t="b">
        <v>0</v>
      </c>
      <c r="V57" s="14" t="b">
        <v>0</v>
      </c>
      <c r="W57" s="14" t="b">
        <v>0</v>
      </c>
      <c r="X57" s="14" t="b">
        <v>0</v>
      </c>
      <c r="Y57" s="14" t="b">
        <v>0</v>
      </c>
      <c r="Z57" s="14" t="b">
        <v>0</v>
      </c>
      <c r="AA57" s="14" t="b">
        <v>0</v>
      </c>
      <c r="AB57" s="14" t="b">
        <v>0</v>
      </c>
      <c r="AC57" s="14" t="b">
        <v>0</v>
      </c>
      <c r="AD57" s="14" t="b">
        <v>0</v>
      </c>
      <c r="AE57" s="14" t="b">
        <v>0</v>
      </c>
      <c r="AF57" s="14" t="b">
        <v>0</v>
      </c>
      <c r="AG57" s="14" t="b">
        <v>0</v>
      </c>
      <c r="AH57" s="14" t="b">
        <v>0</v>
      </c>
      <c r="AI57" s="14" t="b">
        <v>0</v>
      </c>
      <c r="AJ57" s="14" t="b">
        <v>0</v>
      </c>
      <c r="AK57" s="14" t="b">
        <v>0</v>
      </c>
      <c r="AL57" s="14" t="b">
        <v>0</v>
      </c>
      <c r="AM57" s="14" t="b">
        <v>0</v>
      </c>
      <c r="AN57" s="14" t="b">
        <v>0</v>
      </c>
      <c r="AO57" s="14" t="b">
        <v>0</v>
      </c>
      <c r="AP57" s="14" t="b">
        <v>0</v>
      </c>
      <c r="AQ57" s="14" t="b">
        <v>0</v>
      </c>
      <c r="AR57" s="14" t="b">
        <v>0</v>
      </c>
      <c r="AS57" s="14" t="b">
        <v>0</v>
      </c>
      <c r="AT57" s="14" t="b">
        <v>0</v>
      </c>
      <c r="AU57" s="14" t="b">
        <v>0</v>
      </c>
    </row>
    <row r="58" spans="2:47" x14ac:dyDescent="0.2">
      <c r="J58" s="13" t="s">
        <v>46</v>
      </c>
      <c r="K58" s="14">
        <v>0.05</v>
      </c>
      <c r="L58" s="14">
        <v>0.05</v>
      </c>
      <c r="M58" s="14">
        <v>0.05</v>
      </c>
      <c r="N58" s="14">
        <v>0.05</v>
      </c>
      <c r="O58" s="14">
        <v>0.05</v>
      </c>
      <c r="P58" s="14">
        <v>0.05</v>
      </c>
      <c r="Q58" s="14">
        <v>0.05</v>
      </c>
      <c r="R58" s="14">
        <v>0.05</v>
      </c>
      <c r="S58" s="14">
        <v>0.05</v>
      </c>
      <c r="T58" s="14">
        <v>0.05</v>
      </c>
      <c r="U58" s="14">
        <v>0.05</v>
      </c>
      <c r="V58" s="14">
        <v>0.05</v>
      </c>
      <c r="W58" s="14">
        <v>0.05</v>
      </c>
      <c r="X58" s="14">
        <v>0.05</v>
      </c>
      <c r="Y58" s="14">
        <v>0.05</v>
      </c>
      <c r="Z58" s="14">
        <v>0.05</v>
      </c>
      <c r="AA58" s="14">
        <v>0.05</v>
      </c>
      <c r="AB58" s="14">
        <v>0.05</v>
      </c>
      <c r="AC58" s="14">
        <v>0.05</v>
      </c>
      <c r="AD58" s="14">
        <v>0.05</v>
      </c>
      <c r="AE58" s="14">
        <v>0.05</v>
      </c>
      <c r="AF58" s="14">
        <v>0.05</v>
      </c>
      <c r="AG58" s="14">
        <v>0.05</v>
      </c>
      <c r="AH58" s="14">
        <v>0.05</v>
      </c>
      <c r="AI58" s="14">
        <v>0.05</v>
      </c>
      <c r="AJ58" s="14">
        <v>0.05</v>
      </c>
      <c r="AK58" s="14">
        <v>0.05</v>
      </c>
      <c r="AL58" s="14">
        <v>0.05</v>
      </c>
      <c r="AM58" s="14">
        <v>0.05</v>
      </c>
      <c r="AN58" s="14">
        <v>0.05</v>
      </c>
      <c r="AO58" s="14">
        <v>0.05</v>
      </c>
      <c r="AP58" s="14">
        <v>0.05</v>
      </c>
      <c r="AQ58" s="14">
        <v>0.05</v>
      </c>
      <c r="AR58" s="14">
        <v>0.05</v>
      </c>
      <c r="AS58" s="14">
        <v>0.05</v>
      </c>
      <c r="AT58" s="14">
        <v>0.05</v>
      </c>
      <c r="AU58" s="14">
        <v>0.05</v>
      </c>
    </row>
    <row r="59" spans="2:47" x14ac:dyDescent="0.2">
      <c r="J59" s="13" t="s">
        <v>334</v>
      </c>
      <c r="K59" s="14">
        <v>300</v>
      </c>
      <c r="L59" s="14">
        <v>300</v>
      </c>
      <c r="M59" s="14">
        <v>300</v>
      </c>
      <c r="N59" s="14">
        <v>300</v>
      </c>
      <c r="O59" s="14">
        <v>300</v>
      </c>
      <c r="P59" s="14">
        <v>300</v>
      </c>
      <c r="Q59" s="14">
        <v>300</v>
      </c>
      <c r="R59" s="14">
        <v>300</v>
      </c>
      <c r="S59" s="14">
        <v>300</v>
      </c>
      <c r="T59" s="14">
        <v>300</v>
      </c>
      <c r="U59" s="14">
        <v>300</v>
      </c>
      <c r="V59" s="14">
        <v>300</v>
      </c>
      <c r="W59" s="14">
        <v>300</v>
      </c>
      <c r="X59" s="14">
        <v>300</v>
      </c>
      <c r="Y59" s="14">
        <v>300</v>
      </c>
      <c r="Z59" s="14">
        <v>300</v>
      </c>
      <c r="AA59" s="14">
        <v>300</v>
      </c>
      <c r="AB59" s="14">
        <v>300</v>
      </c>
      <c r="AC59" s="14">
        <v>300</v>
      </c>
      <c r="AD59" s="14">
        <v>300</v>
      </c>
      <c r="AE59" s="14">
        <v>300</v>
      </c>
      <c r="AF59" s="14">
        <v>300</v>
      </c>
      <c r="AG59" s="14">
        <v>300</v>
      </c>
      <c r="AH59" s="14">
        <v>300</v>
      </c>
      <c r="AI59" s="14">
        <v>300</v>
      </c>
      <c r="AJ59" s="14">
        <v>300</v>
      </c>
      <c r="AK59" s="14">
        <v>300</v>
      </c>
      <c r="AL59" s="14">
        <v>300</v>
      </c>
      <c r="AM59" s="14">
        <v>300</v>
      </c>
      <c r="AN59" s="14">
        <v>300</v>
      </c>
      <c r="AO59" s="14">
        <v>300</v>
      </c>
      <c r="AP59" s="14">
        <v>300</v>
      </c>
      <c r="AQ59" s="14">
        <v>300</v>
      </c>
      <c r="AR59" s="14">
        <v>300</v>
      </c>
      <c r="AS59" s="14">
        <v>300</v>
      </c>
      <c r="AT59" s="14">
        <v>300</v>
      </c>
      <c r="AU59" s="14">
        <v>300</v>
      </c>
    </row>
    <row r="60" spans="2:47" x14ac:dyDescent="0.2">
      <c r="J60" s="13" t="s">
        <v>335</v>
      </c>
      <c r="K60" s="14" t="b">
        <v>0</v>
      </c>
      <c r="L60" s="14" t="b">
        <v>0</v>
      </c>
      <c r="M60" s="14" t="b">
        <v>0</v>
      </c>
      <c r="N60" s="14" t="b">
        <v>0</v>
      </c>
      <c r="O60" s="14" t="b">
        <v>0</v>
      </c>
      <c r="P60" s="14" t="b">
        <v>0</v>
      </c>
      <c r="Q60" s="14" t="b">
        <v>0</v>
      </c>
      <c r="R60" s="14" t="b">
        <v>0</v>
      </c>
      <c r="S60" s="14" t="b">
        <v>0</v>
      </c>
      <c r="T60" s="14" t="b">
        <v>0</v>
      </c>
      <c r="U60" s="14" t="b">
        <v>0</v>
      </c>
      <c r="V60" s="14" t="b">
        <v>0</v>
      </c>
      <c r="W60" s="14" t="b">
        <v>0</v>
      </c>
      <c r="X60" s="14" t="b">
        <v>0</v>
      </c>
      <c r="Y60" s="14" t="b">
        <v>0</v>
      </c>
      <c r="Z60" s="14" t="b">
        <v>0</v>
      </c>
      <c r="AA60" s="14" t="b">
        <v>0</v>
      </c>
      <c r="AB60" s="14" t="b">
        <v>0</v>
      </c>
      <c r="AC60" s="14" t="b">
        <v>0</v>
      </c>
      <c r="AD60" s="14" t="b">
        <v>0</v>
      </c>
      <c r="AE60" s="14" t="b">
        <v>0</v>
      </c>
      <c r="AF60" s="14" t="b">
        <v>0</v>
      </c>
      <c r="AG60" s="14" t="b">
        <v>0</v>
      </c>
      <c r="AH60" s="14" t="b">
        <v>0</v>
      </c>
      <c r="AI60" s="14" t="b">
        <v>0</v>
      </c>
      <c r="AJ60" s="14" t="b">
        <v>0</v>
      </c>
      <c r="AK60" s="14" t="b">
        <v>0</v>
      </c>
      <c r="AL60" s="14" t="b">
        <v>0</v>
      </c>
      <c r="AM60" s="14" t="b">
        <v>0</v>
      </c>
      <c r="AN60" s="14" t="b">
        <v>0</v>
      </c>
      <c r="AO60" s="14" t="b">
        <v>0</v>
      </c>
      <c r="AP60" s="14" t="b">
        <v>0</v>
      </c>
      <c r="AQ60" s="14" t="b">
        <v>0</v>
      </c>
      <c r="AR60" s="14" t="b">
        <v>0</v>
      </c>
      <c r="AS60" s="14" t="b">
        <v>0</v>
      </c>
      <c r="AT60" s="14" t="b">
        <v>0</v>
      </c>
      <c r="AU60" s="14" t="b">
        <v>0</v>
      </c>
    </row>
    <row r="61" spans="2:47" x14ac:dyDescent="0.2">
      <c r="J61" s="13" t="s">
        <v>336</v>
      </c>
      <c r="K61" s="14"/>
      <c r="L61" s="14"/>
      <c r="M61" s="14"/>
      <c r="N61" s="14"/>
      <c r="O61" s="14"/>
      <c r="P61" s="14"/>
      <c r="Q61" s="14"/>
      <c r="R61" s="14"/>
      <c r="S61" s="14"/>
      <c r="T61" s="14"/>
      <c r="U61" s="14"/>
      <c r="V61" s="14"/>
      <c r="W61" s="14"/>
      <c r="X61" s="14"/>
      <c r="Y61" s="14"/>
      <c r="Z61" s="14"/>
      <c r="AA61" s="14"/>
      <c r="AB61" s="14"/>
      <c r="AC61" s="14"/>
      <c r="AD61" s="14"/>
      <c r="AE61" s="14"/>
      <c r="AF61" s="14"/>
      <c r="AG61" s="14"/>
      <c r="AH61" s="14"/>
      <c r="AI61" s="14"/>
      <c r="AJ61" s="14"/>
      <c r="AK61" s="14"/>
      <c r="AL61" s="14"/>
      <c r="AM61" s="14"/>
      <c r="AN61" s="14"/>
      <c r="AO61" s="14"/>
      <c r="AP61" s="14"/>
      <c r="AQ61" s="14"/>
      <c r="AR61" s="14"/>
      <c r="AS61" s="14"/>
      <c r="AT61" s="14"/>
      <c r="AU61" s="14"/>
    </row>
    <row r="62" spans="2:47" x14ac:dyDescent="0.2">
      <c r="J62" s="13" t="s">
        <v>337</v>
      </c>
      <c r="K62" s="14"/>
      <c r="L62" s="14"/>
      <c r="M62" s="14"/>
      <c r="N62" s="14"/>
      <c r="O62" s="14"/>
      <c r="P62" s="14"/>
      <c r="Q62" s="14"/>
      <c r="R62" s="14"/>
      <c r="S62" s="14"/>
      <c r="T62" s="14"/>
      <c r="U62" s="14"/>
      <c r="V62" s="14"/>
      <c r="W62" s="14"/>
      <c r="X62" s="14"/>
      <c r="Y62" s="14"/>
      <c r="Z62" s="14"/>
      <c r="AA62" s="14"/>
      <c r="AB62" s="14"/>
      <c r="AC62" s="14"/>
      <c r="AD62" s="14"/>
      <c r="AE62" s="14"/>
      <c r="AF62" s="14"/>
      <c r="AG62" s="14"/>
      <c r="AH62" s="14"/>
      <c r="AI62" s="14"/>
      <c r="AJ62" s="14"/>
      <c r="AK62" s="14"/>
      <c r="AL62" s="14"/>
      <c r="AM62" s="14"/>
      <c r="AN62" s="14"/>
      <c r="AO62" s="14"/>
      <c r="AP62" s="14"/>
      <c r="AQ62" s="14"/>
      <c r="AR62" s="14"/>
      <c r="AS62" s="14"/>
      <c r="AT62" s="14"/>
      <c r="AU62" s="14"/>
    </row>
    <row r="63" spans="2:47" x14ac:dyDescent="0.2">
      <c r="J63" s="13" t="s">
        <v>338</v>
      </c>
      <c r="K63" s="14"/>
      <c r="L63" s="14"/>
      <c r="M63" s="14"/>
      <c r="N63" s="14"/>
      <c r="O63" s="14"/>
      <c r="P63" s="14"/>
      <c r="Q63" s="14"/>
      <c r="R63" s="14"/>
      <c r="S63" s="14"/>
      <c r="T63" s="14"/>
      <c r="U63" s="14"/>
      <c r="V63" s="14"/>
      <c r="W63" s="14"/>
      <c r="X63" s="14"/>
      <c r="Y63" s="14"/>
      <c r="Z63" s="14"/>
      <c r="AA63" s="14"/>
      <c r="AB63" s="14"/>
      <c r="AC63" s="14"/>
      <c r="AD63" s="14"/>
      <c r="AE63" s="14"/>
      <c r="AF63" s="14"/>
      <c r="AG63" s="14"/>
      <c r="AH63" s="14"/>
      <c r="AI63" s="14"/>
      <c r="AJ63" s="14"/>
      <c r="AK63" s="14"/>
      <c r="AL63" s="14"/>
      <c r="AM63" s="14"/>
      <c r="AN63" s="14"/>
      <c r="AO63" s="14"/>
      <c r="AP63" s="14"/>
      <c r="AQ63" s="14"/>
      <c r="AR63" s="14"/>
      <c r="AS63" s="14"/>
      <c r="AT63" s="14"/>
      <c r="AU63" s="14"/>
    </row>
    <row r="64" spans="2:47" x14ac:dyDescent="0.2">
      <c r="J64" s="13" t="s">
        <v>339</v>
      </c>
      <c r="K64" s="14"/>
      <c r="L64" s="14"/>
      <c r="M64" s="14"/>
      <c r="N64" s="14"/>
      <c r="O64" s="14"/>
      <c r="P64" s="14"/>
      <c r="Q64" s="14"/>
      <c r="R64" s="14"/>
      <c r="S64" s="14"/>
      <c r="T64" s="14"/>
      <c r="U64" s="14"/>
      <c r="V64" s="14"/>
      <c r="W64" s="14"/>
      <c r="X64" s="14"/>
      <c r="Y64" s="14"/>
      <c r="Z64" s="14"/>
      <c r="AA64" s="14"/>
      <c r="AB64" s="14"/>
      <c r="AC64" s="14"/>
      <c r="AD64" s="14"/>
      <c r="AE64" s="14"/>
      <c r="AF64" s="14"/>
      <c r="AG64" s="14"/>
      <c r="AH64" s="14"/>
      <c r="AI64" s="14"/>
      <c r="AJ64" s="14"/>
      <c r="AK64" s="14"/>
      <c r="AL64" s="14"/>
      <c r="AM64" s="14"/>
      <c r="AN64" s="14"/>
      <c r="AO64" s="14"/>
      <c r="AP64" s="14"/>
      <c r="AQ64" s="14"/>
      <c r="AR64" s="14"/>
      <c r="AS64" s="14"/>
      <c r="AT64" s="14"/>
      <c r="AU64" s="14"/>
    </row>
    <row r="65" spans="10:47" x14ac:dyDescent="0.2">
      <c r="J65" s="13" t="s">
        <v>477</v>
      </c>
      <c r="K65" s="5" t="b">
        <v>1</v>
      </c>
      <c r="L65" s="14" t="b">
        <v>1</v>
      </c>
      <c r="M65" s="14" t="b">
        <v>1</v>
      </c>
      <c r="N65" s="14" t="b">
        <v>1</v>
      </c>
      <c r="O65" s="14" t="b">
        <v>1</v>
      </c>
      <c r="P65" s="5" t="b">
        <v>1</v>
      </c>
      <c r="Q65" s="14" t="b">
        <v>1</v>
      </c>
      <c r="R65" s="14" t="b">
        <v>1</v>
      </c>
      <c r="S65" s="14" t="b">
        <v>1</v>
      </c>
      <c r="T65" s="14" t="b">
        <v>1</v>
      </c>
      <c r="U65" s="14" t="b">
        <v>1</v>
      </c>
      <c r="V65" s="14" t="b">
        <v>1</v>
      </c>
      <c r="W65" s="14" t="b">
        <v>1</v>
      </c>
      <c r="X65" s="14" t="b">
        <v>1</v>
      </c>
      <c r="Y65" s="14" t="b">
        <v>1</v>
      </c>
      <c r="Z65" s="14" t="b">
        <v>1</v>
      </c>
      <c r="AA65" s="14" t="b">
        <v>1</v>
      </c>
      <c r="AB65" s="14" t="b">
        <v>1</v>
      </c>
      <c r="AC65" s="14" t="b">
        <v>1</v>
      </c>
      <c r="AD65" s="14" t="b">
        <v>1</v>
      </c>
      <c r="AE65" s="14" t="b">
        <v>1</v>
      </c>
      <c r="AF65" s="14" t="b">
        <v>1</v>
      </c>
      <c r="AG65" s="14" t="b">
        <v>1</v>
      </c>
      <c r="AH65" s="14" t="b">
        <v>1</v>
      </c>
      <c r="AI65" s="14" t="b">
        <v>1</v>
      </c>
      <c r="AJ65" s="14" t="b">
        <v>1</v>
      </c>
      <c r="AK65" s="14" t="b">
        <v>1</v>
      </c>
      <c r="AL65" s="14" t="b">
        <v>1</v>
      </c>
      <c r="AM65" s="14" t="b">
        <v>1</v>
      </c>
      <c r="AN65" s="14" t="b">
        <v>1</v>
      </c>
      <c r="AO65" s="14" t="b">
        <v>1</v>
      </c>
      <c r="AP65" s="14" t="b">
        <v>1</v>
      </c>
      <c r="AQ65" s="14" t="b">
        <v>1</v>
      </c>
      <c r="AR65" s="14" t="b">
        <v>1</v>
      </c>
      <c r="AS65" s="14" t="b">
        <v>1</v>
      </c>
      <c r="AT65" s="14" t="b">
        <v>1</v>
      </c>
      <c r="AU65" s="14" t="b">
        <v>1</v>
      </c>
    </row>
    <row r="66" spans="10:47" x14ac:dyDescent="0.2">
      <c r="J66" s="13" t="s">
        <v>478</v>
      </c>
      <c r="K66" s="5" t="b">
        <f>IF(Data_NumDG&gt;=3,TRUE,FALSE)</f>
        <v>1</v>
      </c>
      <c r="L66" s="14" t="b">
        <v>1</v>
      </c>
      <c r="M66" s="14" t="b">
        <v>1</v>
      </c>
      <c r="N66" s="14" t="b">
        <v>1</v>
      </c>
      <c r="O66" s="14" t="b">
        <v>1</v>
      </c>
      <c r="P66" s="5" t="b">
        <f>IF(Data_NumDG&gt;=3,TRUE,FALSE)</f>
        <v>1</v>
      </c>
      <c r="Q66" s="14" t="b">
        <v>1</v>
      </c>
      <c r="R66" s="14" t="b">
        <v>1</v>
      </c>
      <c r="S66" s="14" t="b">
        <v>1</v>
      </c>
      <c r="T66" s="14" t="b">
        <v>1</v>
      </c>
      <c r="U66" s="14" t="b">
        <v>1</v>
      </c>
      <c r="V66" s="14" t="b">
        <v>1</v>
      </c>
      <c r="W66" s="14" t="b">
        <v>1</v>
      </c>
      <c r="X66" s="14" t="b">
        <v>1</v>
      </c>
      <c r="Y66" s="14" t="b">
        <v>1</v>
      </c>
      <c r="Z66" s="14" t="b">
        <v>1</v>
      </c>
      <c r="AA66" s="14" t="b">
        <v>1</v>
      </c>
      <c r="AB66" s="14" t="b">
        <v>1</v>
      </c>
      <c r="AC66" s="14" t="b">
        <v>1</v>
      </c>
      <c r="AD66" s="14" t="b">
        <v>1</v>
      </c>
      <c r="AE66" s="14" t="b">
        <v>1</v>
      </c>
      <c r="AF66" s="14" t="b">
        <v>1</v>
      </c>
      <c r="AG66" s="14" t="b">
        <v>1</v>
      </c>
      <c r="AH66" s="14" t="b">
        <v>1</v>
      </c>
      <c r="AI66" s="14" t="b">
        <v>1</v>
      </c>
      <c r="AJ66" s="14" t="b">
        <v>1</v>
      </c>
      <c r="AK66" s="14" t="b">
        <v>1</v>
      </c>
      <c r="AL66" s="14" t="b">
        <v>1</v>
      </c>
      <c r="AM66" s="14" t="b">
        <v>1</v>
      </c>
      <c r="AN66" s="14" t="b">
        <v>1</v>
      </c>
      <c r="AO66" s="14" t="b">
        <v>1</v>
      </c>
      <c r="AP66" s="14" t="b">
        <v>1</v>
      </c>
      <c r="AQ66" s="14" t="b">
        <v>1</v>
      </c>
      <c r="AR66" s="14" t="b">
        <v>1</v>
      </c>
      <c r="AS66" s="14" t="b">
        <v>1</v>
      </c>
      <c r="AT66" s="14" t="b">
        <v>1</v>
      </c>
      <c r="AU66" s="14" t="b">
        <v>1</v>
      </c>
    </row>
    <row r="67" spans="10:47" x14ac:dyDescent="0.2">
      <c r="J67" s="13" t="s">
        <v>479</v>
      </c>
      <c r="K67" s="5" t="b">
        <f>IF(Data_NumDG&gt;=3,TRUE,FALSE)</f>
        <v>1</v>
      </c>
      <c r="L67" s="14" t="b">
        <v>1</v>
      </c>
      <c r="M67" s="14" t="b">
        <v>1</v>
      </c>
      <c r="N67" s="14" t="b">
        <v>1</v>
      </c>
      <c r="O67" s="14" t="b">
        <v>1</v>
      </c>
      <c r="P67" s="5" t="b">
        <f>IF(Data_NumDG&gt;=3,TRUE,FALSE)</f>
        <v>1</v>
      </c>
      <c r="Q67" s="14" t="b">
        <v>1</v>
      </c>
      <c r="R67" s="14" t="b">
        <v>1</v>
      </c>
      <c r="S67" s="14" t="b">
        <v>1</v>
      </c>
      <c r="T67" s="14" t="b">
        <v>1</v>
      </c>
      <c r="U67" s="14" t="b">
        <v>1</v>
      </c>
      <c r="V67" s="14" t="b">
        <v>1</v>
      </c>
      <c r="W67" s="14" t="b">
        <v>1</v>
      </c>
      <c r="X67" s="14" t="b">
        <v>1</v>
      </c>
      <c r="Y67" s="14" t="b">
        <v>1</v>
      </c>
      <c r="Z67" s="14" t="b">
        <v>1</v>
      </c>
      <c r="AA67" s="14" t="b">
        <v>1</v>
      </c>
      <c r="AB67" s="14" t="b">
        <v>1</v>
      </c>
      <c r="AC67" s="14" t="b">
        <v>1</v>
      </c>
      <c r="AD67" s="14" t="b">
        <v>1</v>
      </c>
      <c r="AE67" s="14" t="b">
        <v>1</v>
      </c>
      <c r="AF67" s="14" t="b">
        <v>1</v>
      </c>
      <c r="AG67" s="14" t="b">
        <v>1</v>
      </c>
      <c r="AH67" s="14" t="b">
        <v>1</v>
      </c>
      <c r="AI67" s="14" t="b">
        <v>1</v>
      </c>
      <c r="AJ67" s="14" t="b">
        <v>1</v>
      </c>
      <c r="AK67" s="14" t="b">
        <v>1</v>
      </c>
      <c r="AL67" s="14" t="b">
        <v>1</v>
      </c>
      <c r="AM67" s="14" t="b">
        <v>1</v>
      </c>
      <c r="AN67" s="14" t="b">
        <v>1</v>
      </c>
      <c r="AO67" s="14" t="b">
        <v>1</v>
      </c>
      <c r="AP67" s="14" t="b">
        <v>1</v>
      </c>
      <c r="AQ67" s="14" t="b">
        <v>1</v>
      </c>
      <c r="AR67" s="14" t="b">
        <v>1</v>
      </c>
      <c r="AS67" s="14" t="b">
        <v>1</v>
      </c>
      <c r="AT67" s="14" t="b">
        <v>1</v>
      </c>
      <c r="AU67" s="14" t="b">
        <v>1</v>
      </c>
    </row>
    <row r="68" spans="10:47" x14ac:dyDescent="0.2">
      <c r="J68" s="13" t="s">
        <v>480</v>
      </c>
      <c r="K68" s="5" t="b">
        <f>IF(Data_NumDG&gt;=4,TRUE,FALSE)</f>
        <v>1</v>
      </c>
      <c r="L68" s="14" t="b">
        <v>1</v>
      </c>
      <c r="M68" s="14" t="b">
        <v>1</v>
      </c>
      <c r="N68" s="14" t="b">
        <v>1</v>
      </c>
      <c r="O68" s="14" t="b">
        <v>1</v>
      </c>
      <c r="P68" s="5" t="b">
        <f>IF(Data_NumDG&gt;=4,TRUE,FALSE)</f>
        <v>1</v>
      </c>
      <c r="Q68" s="14" t="b">
        <v>1</v>
      </c>
      <c r="R68" s="14" t="b">
        <v>1</v>
      </c>
      <c r="S68" s="14" t="b">
        <v>1</v>
      </c>
      <c r="T68" s="14" t="b">
        <v>1</v>
      </c>
      <c r="U68" s="14" t="b">
        <v>1</v>
      </c>
      <c r="V68" s="14" t="b">
        <v>1</v>
      </c>
      <c r="W68" s="14" t="b">
        <v>1</v>
      </c>
      <c r="X68" s="14" t="b">
        <v>1</v>
      </c>
      <c r="Y68" s="14" t="b">
        <v>1</v>
      </c>
      <c r="Z68" s="14" t="b">
        <v>1</v>
      </c>
      <c r="AA68" s="14" t="b">
        <v>1</v>
      </c>
      <c r="AB68" s="14" t="b">
        <v>1</v>
      </c>
      <c r="AC68" s="14" t="b">
        <v>1</v>
      </c>
      <c r="AD68" s="14" t="b">
        <v>1</v>
      </c>
      <c r="AE68" s="14" t="b">
        <v>1</v>
      </c>
      <c r="AF68" s="14" t="b">
        <v>1</v>
      </c>
      <c r="AG68" s="14" t="b">
        <v>1</v>
      </c>
      <c r="AH68" s="14" t="b">
        <v>1</v>
      </c>
      <c r="AI68" s="14" t="b">
        <v>1</v>
      </c>
      <c r="AJ68" s="14" t="b">
        <v>1</v>
      </c>
      <c r="AK68" s="14" t="b">
        <v>1</v>
      </c>
      <c r="AL68" s="14" t="b">
        <v>1</v>
      </c>
      <c r="AM68" s="14" t="b">
        <v>1</v>
      </c>
      <c r="AN68" s="14" t="b">
        <v>1</v>
      </c>
      <c r="AO68" s="14" t="b">
        <v>1</v>
      </c>
      <c r="AP68" s="14" t="b">
        <v>1</v>
      </c>
      <c r="AQ68" s="14" t="b">
        <v>1</v>
      </c>
      <c r="AR68" s="14" t="b">
        <v>1</v>
      </c>
      <c r="AS68" s="14" t="b">
        <v>1</v>
      </c>
      <c r="AT68" s="14" t="b">
        <v>1</v>
      </c>
      <c r="AU68" s="14" t="b">
        <v>1</v>
      </c>
    </row>
    <row r="69" spans="10:47" x14ac:dyDescent="0.2">
      <c r="J69" s="13" t="s">
        <v>481</v>
      </c>
      <c r="K69" s="5" t="b">
        <v>0</v>
      </c>
      <c r="L69" s="14" t="b">
        <v>1</v>
      </c>
      <c r="M69" s="14" t="b">
        <v>1</v>
      </c>
      <c r="N69" s="14" t="b">
        <v>1</v>
      </c>
      <c r="O69" s="14" t="b">
        <v>1</v>
      </c>
      <c r="P69" s="5" t="b">
        <v>0</v>
      </c>
      <c r="Q69" s="14" t="b">
        <v>1</v>
      </c>
      <c r="R69" s="14" t="b">
        <v>1</v>
      </c>
      <c r="S69" s="14" t="b">
        <v>1</v>
      </c>
      <c r="T69" s="14" t="b">
        <v>1</v>
      </c>
      <c r="U69" s="14" t="b">
        <v>1</v>
      </c>
      <c r="V69" s="14" t="b">
        <v>1</v>
      </c>
      <c r="W69" s="14" t="b">
        <v>1</v>
      </c>
      <c r="X69" s="14" t="b">
        <v>1</v>
      </c>
      <c r="Y69" s="14" t="b">
        <v>1</v>
      </c>
      <c r="Z69" s="14" t="b">
        <v>1</v>
      </c>
      <c r="AA69" s="14" t="b">
        <v>1</v>
      </c>
      <c r="AB69" s="14" t="b">
        <v>1</v>
      </c>
      <c r="AC69" s="14" t="b">
        <v>1</v>
      </c>
      <c r="AD69" s="14" t="b">
        <v>1</v>
      </c>
      <c r="AE69" s="14" t="b">
        <v>1</v>
      </c>
      <c r="AF69" s="14" t="b">
        <v>1</v>
      </c>
      <c r="AG69" s="14" t="b">
        <v>1</v>
      </c>
      <c r="AH69" s="14" t="b">
        <v>1</v>
      </c>
      <c r="AI69" s="14" t="b">
        <v>1</v>
      </c>
      <c r="AJ69" s="14" t="b">
        <v>1</v>
      </c>
      <c r="AK69" s="14" t="b">
        <v>1</v>
      </c>
      <c r="AL69" s="14" t="b">
        <v>1</v>
      </c>
      <c r="AM69" s="14" t="b">
        <v>1</v>
      </c>
      <c r="AN69" s="14" t="b">
        <v>1</v>
      </c>
      <c r="AO69" s="14" t="b">
        <v>1</v>
      </c>
      <c r="AP69" s="14" t="b">
        <v>1</v>
      </c>
      <c r="AQ69" s="14" t="b">
        <v>1</v>
      </c>
      <c r="AR69" s="14" t="b">
        <v>1</v>
      </c>
      <c r="AS69" s="14" t="b">
        <v>1</v>
      </c>
      <c r="AT69" s="14" t="b">
        <v>1</v>
      </c>
      <c r="AU69" s="14" t="b">
        <v>1</v>
      </c>
    </row>
    <row r="70" spans="10:47" x14ac:dyDescent="0.2">
      <c r="J70" s="13" t="s">
        <v>42</v>
      </c>
      <c r="K70" s="5">
        <v>250</v>
      </c>
      <c r="L70" s="5">
        <v>250</v>
      </c>
      <c r="M70" s="5">
        <v>250</v>
      </c>
      <c r="N70" s="5">
        <v>250</v>
      </c>
      <c r="O70" s="5">
        <v>250</v>
      </c>
      <c r="P70" s="5">
        <v>250</v>
      </c>
      <c r="Q70" s="5">
        <v>250</v>
      </c>
      <c r="R70" s="5">
        <v>250</v>
      </c>
      <c r="S70" s="5">
        <v>250</v>
      </c>
      <c r="T70" s="5">
        <v>250</v>
      </c>
      <c r="U70" s="5">
        <v>250</v>
      </c>
      <c r="V70" s="5">
        <v>250</v>
      </c>
      <c r="W70" s="5">
        <v>250</v>
      </c>
      <c r="X70" s="5">
        <v>250</v>
      </c>
      <c r="Y70" s="5">
        <v>250</v>
      </c>
      <c r="Z70" s="5">
        <v>250</v>
      </c>
      <c r="AA70" s="5">
        <v>250</v>
      </c>
      <c r="AB70" s="5">
        <v>250</v>
      </c>
      <c r="AC70" s="5">
        <v>250</v>
      </c>
      <c r="AD70" s="5">
        <v>250</v>
      </c>
      <c r="AE70" s="5">
        <v>250</v>
      </c>
      <c r="AF70" s="5">
        <v>250</v>
      </c>
      <c r="AG70" s="5">
        <v>250</v>
      </c>
      <c r="AH70" s="5">
        <v>250</v>
      </c>
      <c r="AI70" s="5">
        <v>250</v>
      </c>
      <c r="AJ70" s="5">
        <v>250</v>
      </c>
      <c r="AK70" s="5">
        <v>250</v>
      </c>
      <c r="AL70" s="5">
        <v>250</v>
      </c>
      <c r="AM70" s="5">
        <v>250</v>
      </c>
      <c r="AN70" s="5">
        <v>250</v>
      </c>
      <c r="AO70" s="5">
        <v>250</v>
      </c>
      <c r="AP70" s="5">
        <v>250</v>
      </c>
      <c r="AQ70" s="5">
        <v>250</v>
      </c>
      <c r="AR70" s="5">
        <v>250</v>
      </c>
      <c r="AS70" s="5">
        <v>250</v>
      </c>
      <c r="AT70" s="5">
        <v>250</v>
      </c>
      <c r="AU70" s="5">
        <v>250</v>
      </c>
    </row>
    <row r="71" spans="10:47" x14ac:dyDescent="0.2">
      <c r="J71" s="13" t="s">
        <v>43</v>
      </c>
      <c r="K71" s="5">
        <v>1E-8</v>
      </c>
      <c r="L71" s="5">
        <v>1E-8</v>
      </c>
      <c r="M71" s="5">
        <v>1E-8</v>
      </c>
      <c r="N71" s="5">
        <v>1E-8</v>
      </c>
      <c r="O71" s="5">
        <v>1E-8</v>
      </c>
      <c r="P71" s="5">
        <v>1E-8</v>
      </c>
      <c r="Q71" s="5">
        <v>1E-8</v>
      </c>
      <c r="R71" s="5">
        <v>1E-8</v>
      </c>
      <c r="S71" s="5">
        <v>1E-8</v>
      </c>
      <c r="T71" s="5">
        <v>1E-8</v>
      </c>
      <c r="U71" s="5">
        <v>1E-8</v>
      </c>
      <c r="V71" s="5">
        <v>1E-8</v>
      </c>
      <c r="W71" s="5">
        <v>1E-8</v>
      </c>
      <c r="X71" s="5">
        <v>1E-8</v>
      </c>
      <c r="Y71" s="5">
        <v>1E-8</v>
      </c>
      <c r="Z71" s="5">
        <v>1E-8</v>
      </c>
      <c r="AA71" s="5">
        <v>1E-8</v>
      </c>
      <c r="AB71" s="5">
        <v>1E-8</v>
      </c>
      <c r="AC71" s="5">
        <v>1E-8</v>
      </c>
      <c r="AD71" s="5">
        <v>1E-8</v>
      </c>
      <c r="AE71" s="5">
        <v>1E-8</v>
      </c>
      <c r="AF71" s="5">
        <v>1E-8</v>
      </c>
      <c r="AG71" s="5">
        <v>1E-8</v>
      </c>
      <c r="AH71" s="5">
        <v>1E-8</v>
      </c>
      <c r="AI71" s="5">
        <v>1E-8</v>
      </c>
      <c r="AJ71" s="5">
        <v>1E-8</v>
      </c>
      <c r="AK71" s="5">
        <v>1E-8</v>
      </c>
      <c r="AL71" s="5">
        <v>1E-8</v>
      </c>
      <c r="AM71" s="5">
        <v>1E-8</v>
      </c>
      <c r="AN71" s="5">
        <v>1E-8</v>
      </c>
      <c r="AO71" s="5">
        <v>1E-8</v>
      </c>
      <c r="AP71" s="5">
        <v>1E-8</v>
      </c>
      <c r="AQ71" s="5">
        <v>1E-8</v>
      </c>
      <c r="AR71" s="5">
        <v>1E-8</v>
      </c>
      <c r="AS71" s="5">
        <v>1E-8</v>
      </c>
      <c r="AT71" s="5">
        <v>1E-8</v>
      </c>
      <c r="AU71" s="5">
        <v>1E-8</v>
      </c>
    </row>
    <row r="72" spans="10:47" x14ac:dyDescent="0.2">
      <c r="J72" s="13" t="s">
        <v>44</v>
      </c>
      <c r="K72" s="5">
        <v>1E-8</v>
      </c>
      <c r="L72" s="5">
        <v>1E-8</v>
      </c>
      <c r="M72" s="5">
        <v>1E-8</v>
      </c>
      <c r="N72" s="5">
        <v>1E-8</v>
      </c>
      <c r="O72" s="5">
        <v>1E-8</v>
      </c>
      <c r="P72" s="5">
        <v>1E-8</v>
      </c>
      <c r="Q72" s="5">
        <v>1E-8</v>
      </c>
      <c r="R72" s="5">
        <v>1E-8</v>
      </c>
      <c r="S72" s="5">
        <v>1E-8</v>
      </c>
      <c r="T72" s="5">
        <v>1E-8</v>
      </c>
      <c r="U72" s="5">
        <v>1E-8</v>
      </c>
      <c r="V72" s="5">
        <v>1E-8</v>
      </c>
      <c r="W72" s="5">
        <v>1E-8</v>
      </c>
      <c r="X72" s="5">
        <v>1E-8</v>
      </c>
      <c r="Y72" s="5">
        <v>1E-8</v>
      </c>
      <c r="Z72" s="5">
        <v>1E-8</v>
      </c>
      <c r="AA72" s="5">
        <v>1E-8</v>
      </c>
      <c r="AB72" s="5">
        <v>1E-8</v>
      </c>
      <c r="AC72" s="5">
        <v>1E-8</v>
      </c>
      <c r="AD72" s="5">
        <v>1E-8</v>
      </c>
      <c r="AE72" s="5">
        <v>1E-8</v>
      </c>
      <c r="AF72" s="5">
        <v>1E-8</v>
      </c>
      <c r="AG72" s="5">
        <v>1E-8</v>
      </c>
      <c r="AH72" s="5">
        <v>1E-8</v>
      </c>
      <c r="AI72" s="5">
        <v>1E-8</v>
      </c>
      <c r="AJ72" s="5">
        <v>1E-8</v>
      </c>
      <c r="AK72" s="5">
        <v>1E-8</v>
      </c>
      <c r="AL72" s="5">
        <v>1E-8</v>
      </c>
      <c r="AM72" s="5">
        <v>1E-8</v>
      </c>
      <c r="AN72" s="5">
        <v>1E-8</v>
      </c>
      <c r="AO72" s="5">
        <v>1E-8</v>
      </c>
      <c r="AP72" s="5">
        <v>1E-8</v>
      </c>
      <c r="AQ72" s="5">
        <v>1E-8</v>
      </c>
      <c r="AR72" s="5">
        <v>1E-8</v>
      </c>
      <c r="AS72" s="5">
        <v>1E-8</v>
      </c>
      <c r="AT72" s="5">
        <v>1E-8</v>
      </c>
      <c r="AU72" s="5">
        <v>1E-8</v>
      </c>
    </row>
    <row r="73" spans="10:47" x14ac:dyDescent="0.2">
      <c r="J73" s="13" t="s">
        <v>340</v>
      </c>
      <c r="K73" s="14" t="s">
        <v>431</v>
      </c>
      <c r="L73" s="14" t="s">
        <v>431</v>
      </c>
      <c r="M73" s="14" t="s">
        <v>431</v>
      </c>
      <c r="N73" s="14" t="s">
        <v>431</v>
      </c>
      <c r="O73" s="14" t="s">
        <v>431</v>
      </c>
      <c r="P73" s="14" t="s">
        <v>431</v>
      </c>
      <c r="Q73" s="14" t="s">
        <v>431</v>
      </c>
      <c r="R73" s="14" t="s">
        <v>431</v>
      </c>
      <c r="S73" s="14" t="s">
        <v>431</v>
      </c>
      <c r="T73" s="14" t="s">
        <v>431</v>
      </c>
      <c r="U73" s="16" t="s">
        <v>431</v>
      </c>
      <c r="V73" s="14" t="s">
        <v>431</v>
      </c>
      <c r="W73" s="14" t="s">
        <v>431</v>
      </c>
      <c r="X73" s="16" t="s">
        <v>431</v>
      </c>
      <c r="Y73" s="14" t="s">
        <v>431</v>
      </c>
      <c r="Z73" s="16" t="s">
        <v>431</v>
      </c>
      <c r="AA73" s="16" t="s">
        <v>431</v>
      </c>
      <c r="AB73" s="16" t="s">
        <v>431</v>
      </c>
      <c r="AC73" s="16" t="s">
        <v>431</v>
      </c>
      <c r="AD73" s="16" t="s">
        <v>431</v>
      </c>
      <c r="AE73" s="16" t="s">
        <v>431</v>
      </c>
      <c r="AF73" s="16" t="s">
        <v>431</v>
      </c>
      <c r="AG73" s="16" t="s">
        <v>431</v>
      </c>
      <c r="AH73" s="16" t="s">
        <v>431</v>
      </c>
      <c r="AI73" s="16" t="s">
        <v>431</v>
      </c>
      <c r="AJ73" s="16" t="s">
        <v>431</v>
      </c>
      <c r="AK73" s="16" t="s">
        <v>431</v>
      </c>
      <c r="AL73" s="16" t="s">
        <v>431</v>
      </c>
      <c r="AM73" s="16" t="s">
        <v>431</v>
      </c>
      <c r="AN73" s="16" t="s">
        <v>431</v>
      </c>
      <c r="AO73" s="16" t="s">
        <v>431</v>
      </c>
      <c r="AP73" s="16" t="s">
        <v>431</v>
      </c>
      <c r="AQ73" s="16" t="s">
        <v>431</v>
      </c>
      <c r="AR73" s="16" t="s">
        <v>431</v>
      </c>
      <c r="AS73" s="14" t="s">
        <v>431</v>
      </c>
      <c r="AT73" s="14" t="s">
        <v>431</v>
      </c>
      <c r="AU73" s="14" t="s">
        <v>431</v>
      </c>
    </row>
    <row r="74" spans="10:47" x14ac:dyDescent="0.2">
      <c r="J74" s="13" t="s">
        <v>341</v>
      </c>
      <c r="K74" s="14" t="s">
        <v>431</v>
      </c>
      <c r="L74" s="14" t="s">
        <v>431</v>
      </c>
      <c r="M74" s="16" t="s">
        <v>431</v>
      </c>
      <c r="N74" s="14" t="s">
        <v>431</v>
      </c>
      <c r="O74" s="14" t="s">
        <v>431</v>
      </c>
      <c r="P74" s="14" t="s">
        <v>431</v>
      </c>
      <c r="Q74" s="14" t="s">
        <v>431</v>
      </c>
      <c r="R74" s="16" t="s">
        <v>431</v>
      </c>
      <c r="S74" s="14" t="s">
        <v>431</v>
      </c>
      <c r="T74" s="14" t="s">
        <v>431</v>
      </c>
      <c r="U74" s="16" t="s">
        <v>431</v>
      </c>
      <c r="V74" s="16" t="s">
        <v>431</v>
      </c>
      <c r="W74" s="16" t="s">
        <v>431</v>
      </c>
      <c r="X74" s="16" t="s">
        <v>431</v>
      </c>
      <c r="Y74" s="16" t="s">
        <v>431</v>
      </c>
      <c r="Z74" s="16" t="s">
        <v>431</v>
      </c>
      <c r="AA74" s="16" t="s">
        <v>431</v>
      </c>
      <c r="AB74" s="16" t="s">
        <v>431</v>
      </c>
      <c r="AC74" s="14" t="s">
        <v>431</v>
      </c>
      <c r="AD74" s="16" t="s">
        <v>431</v>
      </c>
      <c r="AE74" s="16" t="s">
        <v>431</v>
      </c>
      <c r="AF74" s="16" t="s">
        <v>431</v>
      </c>
      <c r="AG74" s="16" t="s">
        <v>431</v>
      </c>
      <c r="AH74" s="16" t="s">
        <v>431</v>
      </c>
      <c r="AI74" s="14" t="s">
        <v>431</v>
      </c>
      <c r="AJ74" s="14" t="s">
        <v>431</v>
      </c>
      <c r="AK74" s="14" t="s">
        <v>431</v>
      </c>
      <c r="AL74" s="14" t="s">
        <v>431</v>
      </c>
      <c r="AM74" s="14" t="s">
        <v>431</v>
      </c>
      <c r="AN74" s="14" t="s">
        <v>431</v>
      </c>
      <c r="AO74" s="14" t="s">
        <v>431</v>
      </c>
      <c r="AP74" s="14" t="s">
        <v>431</v>
      </c>
      <c r="AQ74" s="14" t="s">
        <v>431</v>
      </c>
      <c r="AR74" s="14" t="s">
        <v>431</v>
      </c>
      <c r="AS74" s="14" t="s">
        <v>431</v>
      </c>
      <c r="AT74" s="14" t="s">
        <v>431</v>
      </c>
      <c r="AU74" s="14" t="s">
        <v>431</v>
      </c>
    </row>
    <row r="75" spans="10:47" x14ac:dyDescent="0.2">
      <c r="J75" s="13" t="s">
        <v>24</v>
      </c>
      <c r="K75" s="14" t="s">
        <v>431</v>
      </c>
      <c r="L75" s="14" t="s">
        <v>431</v>
      </c>
      <c r="M75" s="16" t="s">
        <v>431</v>
      </c>
      <c r="N75" s="14" t="s">
        <v>431</v>
      </c>
      <c r="O75" s="14" t="s">
        <v>431</v>
      </c>
      <c r="P75" s="14" t="s">
        <v>431</v>
      </c>
      <c r="Q75" s="14" t="s">
        <v>431</v>
      </c>
      <c r="R75" s="16" t="s">
        <v>431</v>
      </c>
      <c r="S75" s="14" t="s">
        <v>431</v>
      </c>
      <c r="T75" s="14" t="s">
        <v>431</v>
      </c>
      <c r="U75" s="16" t="s">
        <v>431</v>
      </c>
      <c r="V75" s="14" t="s">
        <v>431</v>
      </c>
      <c r="W75" s="14" t="s">
        <v>431</v>
      </c>
      <c r="X75" s="14" t="s">
        <v>431</v>
      </c>
      <c r="Y75" s="14" t="s">
        <v>431</v>
      </c>
      <c r="Z75" s="14" t="s">
        <v>431</v>
      </c>
      <c r="AA75" s="16" t="s">
        <v>431</v>
      </c>
      <c r="AB75" s="14" t="s">
        <v>431</v>
      </c>
      <c r="AC75" s="14" t="s">
        <v>431</v>
      </c>
      <c r="AD75" s="16" t="s">
        <v>431</v>
      </c>
      <c r="AE75" s="14" t="s">
        <v>431</v>
      </c>
      <c r="AF75" s="14" t="s">
        <v>431</v>
      </c>
      <c r="AG75" s="14" t="s">
        <v>431</v>
      </c>
      <c r="AH75" s="16" t="s">
        <v>431</v>
      </c>
      <c r="AI75" s="14" t="s">
        <v>431</v>
      </c>
      <c r="AJ75" s="14" t="s">
        <v>431</v>
      </c>
      <c r="AK75" s="14" t="s">
        <v>431</v>
      </c>
      <c r="AL75" s="14" t="s">
        <v>431</v>
      </c>
      <c r="AM75" s="14" t="s">
        <v>431</v>
      </c>
      <c r="AN75" s="14" t="s">
        <v>431</v>
      </c>
      <c r="AO75" s="14" t="s">
        <v>431</v>
      </c>
      <c r="AP75" s="14" t="s">
        <v>431</v>
      </c>
      <c r="AQ75" s="14" t="s">
        <v>431</v>
      </c>
      <c r="AR75" s="14" t="s">
        <v>431</v>
      </c>
      <c r="AS75" s="14" t="s">
        <v>431</v>
      </c>
      <c r="AT75" s="14" t="s">
        <v>431</v>
      </c>
      <c r="AU75" s="14" t="s">
        <v>431</v>
      </c>
    </row>
    <row r="76" spans="10:47" x14ac:dyDescent="0.2">
      <c r="J76" s="13" t="s">
        <v>342</v>
      </c>
      <c r="K76" s="14" t="s">
        <v>431</v>
      </c>
      <c r="L76" s="16" t="s">
        <v>431</v>
      </c>
      <c r="M76" s="16" t="s">
        <v>431</v>
      </c>
      <c r="N76" s="16" t="s">
        <v>431</v>
      </c>
      <c r="O76" s="16" t="s">
        <v>431</v>
      </c>
      <c r="P76" s="14" t="s">
        <v>431</v>
      </c>
      <c r="Q76" s="16" t="s">
        <v>431</v>
      </c>
      <c r="R76" s="16" t="s">
        <v>431</v>
      </c>
      <c r="S76" s="16" t="s">
        <v>431</v>
      </c>
      <c r="T76" s="16" t="s">
        <v>431</v>
      </c>
      <c r="U76" s="14" t="s">
        <v>431</v>
      </c>
      <c r="V76" s="14" t="s">
        <v>431</v>
      </c>
      <c r="W76" s="14" t="s">
        <v>431</v>
      </c>
      <c r="X76" s="14" t="s">
        <v>431</v>
      </c>
      <c r="Y76" s="14" t="s">
        <v>431</v>
      </c>
      <c r="Z76" s="14" t="s">
        <v>431</v>
      </c>
      <c r="AA76" s="14" t="s">
        <v>431</v>
      </c>
      <c r="AB76" s="14" t="s">
        <v>431</v>
      </c>
      <c r="AC76" s="14" t="s">
        <v>431</v>
      </c>
      <c r="AD76" s="14" t="s">
        <v>431</v>
      </c>
      <c r="AE76" s="14" t="s">
        <v>431</v>
      </c>
      <c r="AF76" s="14" t="s">
        <v>431</v>
      </c>
      <c r="AG76" s="14" t="s">
        <v>431</v>
      </c>
      <c r="AH76" s="14" t="s">
        <v>431</v>
      </c>
      <c r="AI76" s="14" t="s">
        <v>431</v>
      </c>
      <c r="AJ76" s="14" t="s">
        <v>431</v>
      </c>
      <c r="AK76" s="14" t="s">
        <v>431</v>
      </c>
      <c r="AL76" s="14" t="s">
        <v>431</v>
      </c>
      <c r="AM76" s="14" t="s">
        <v>431</v>
      </c>
      <c r="AN76" s="14" t="s">
        <v>431</v>
      </c>
      <c r="AO76" s="14" t="s">
        <v>431</v>
      </c>
      <c r="AP76" s="14" t="s">
        <v>431</v>
      </c>
      <c r="AQ76" s="14" t="s">
        <v>431</v>
      </c>
      <c r="AR76" s="14" t="s">
        <v>431</v>
      </c>
      <c r="AS76" s="16" t="s">
        <v>431</v>
      </c>
      <c r="AT76" s="16" t="s">
        <v>431</v>
      </c>
      <c r="AU76" s="16" t="s">
        <v>431</v>
      </c>
    </row>
    <row r="77" spans="10:47" x14ac:dyDescent="0.2">
      <c r="J77" s="13" t="s">
        <v>343</v>
      </c>
      <c r="K77" s="14" t="s">
        <v>431</v>
      </c>
      <c r="L77" s="16" t="s">
        <v>431</v>
      </c>
      <c r="M77" s="16" t="s">
        <v>431</v>
      </c>
      <c r="N77" s="16" t="s">
        <v>431</v>
      </c>
      <c r="O77" s="16" t="s">
        <v>431</v>
      </c>
      <c r="P77" s="14" t="s">
        <v>431</v>
      </c>
      <c r="Q77" s="16" t="s">
        <v>431</v>
      </c>
      <c r="R77" s="16" t="s">
        <v>431</v>
      </c>
      <c r="S77" s="16" t="s">
        <v>431</v>
      </c>
      <c r="T77" s="16" t="s">
        <v>431</v>
      </c>
      <c r="U77" s="14" t="s">
        <v>431</v>
      </c>
      <c r="V77" s="14" t="s">
        <v>431</v>
      </c>
      <c r="W77" s="14" t="s">
        <v>431</v>
      </c>
      <c r="X77" s="14" t="s">
        <v>431</v>
      </c>
      <c r="Y77" s="14" t="s">
        <v>431</v>
      </c>
      <c r="Z77" s="14" t="s">
        <v>431</v>
      </c>
      <c r="AA77" s="14" t="s">
        <v>431</v>
      </c>
      <c r="AB77" s="14" t="s">
        <v>431</v>
      </c>
      <c r="AC77" s="14" t="s">
        <v>431</v>
      </c>
      <c r="AD77" s="14" t="s">
        <v>431</v>
      </c>
      <c r="AE77" s="14" t="s">
        <v>431</v>
      </c>
      <c r="AF77" s="14" t="s">
        <v>431</v>
      </c>
      <c r="AG77" s="14" t="s">
        <v>431</v>
      </c>
      <c r="AH77" s="14" t="s">
        <v>431</v>
      </c>
      <c r="AI77" s="14" t="s">
        <v>431</v>
      </c>
      <c r="AJ77" s="14" t="s">
        <v>431</v>
      </c>
      <c r="AK77" s="14" t="s">
        <v>431</v>
      </c>
      <c r="AL77" s="14" t="s">
        <v>431</v>
      </c>
      <c r="AM77" s="14" t="s">
        <v>431</v>
      </c>
      <c r="AN77" s="14" t="s">
        <v>431</v>
      </c>
      <c r="AO77" s="14" t="s">
        <v>431</v>
      </c>
      <c r="AP77" s="14" t="s">
        <v>431</v>
      </c>
      <c r="AQ77" s="14" t="s">
        <v>431</v>
      </c>
      <c r="AR77" s="14" t="s">
        <v>431</v>
      </c>
      <c r="AS77" s="16" t="s">
        <v>431</v>
      </c>
      <c r="AT77" s="16" t="s">
        <v>431</v>
      </c>
      <c r="AU77" s="16" t="s">
        <v>431</v>
      </c>
    </row>
    <row r="78" spans="10:47" x14ac:dyDescent="0.2">
      <c r="J78" s="13" t="s">
        <v>344</v>
      </c>
      <c r="K78" s="14" t="s">
        <v>431</v>
      </c>
      <c r="L78" s="14" t="s">
        <v>431</v>
      </c>
      <c r="M78" s="16" t="s">
        <v>431</v>
      </c>
      <c r="N78" s="14" t="s">
        <v>431</v>
      </c>
      <c r="O78" s="14" t="s">
        <v>431</v>
      </c>
      <c r="P78" s="14" t="s">
        <v>431</v>
      </c>
      <c r="Q78" s="14" t="s">
        <v>431</v>
      </c>
      <c r="R78" s="16" t="s">
        <v>431</v>
      </c>
      <c r="S78" s="14" t="s">
        <v>431</v>
      </c>
      <c r="T78" s="14" t="s">
        <v>431</v>
      </c>
      <c r="U78" s="14" t="s">
        <v>431</v>
      </c>
      <c r="V78" s="14" t="s">
        <v>431</v>
      </c>
      <c r="W78" s="14" t="s">
        <v>431</v>
      </c>
      <c r="X78" s="14" t="s">
        <v>431</v>
      </c>
      <c r="Y78" s="14" t="s">
        <v>431</v>
      </c>
      <c r="Z78" s="14" t="s">
        <v>431</v>
      </c>
      <c r="AA78" s="14" t="s">
        <v>431</v>
      </c>
      <c r="AB78" s="14" t="s">
        <v>431</v>
      </c>
      <c r="AC78" s="14" t="s">
        <v>431</v>
      </c>
      <c r="AD78" s="14" t="s">
        <v>431</v>
      </c>
      <c r="AE78" s="14" t="s">
        <v>431</v>
      </c>
      <c r="AF78" s="14" t="s">
        <v>431</v>
      </c>
      <c r="AG78" s="14" t="s">
        <v>431</v>
      </c>
      <c r="AH78" s="14" t="s">
        <v>431</v>
      </c>
      <c r="AI78" s="14" t="s">
        <v>431</v>
      </c>
      <c r="AJ78" s="14" t="s">
        <v>431</v>
      </c>
      <c r="AK78" s="14" t="s">
        <v>431</v>
      </c>
      <c r="AL78" s="14" t="s">
        <v>431</v>
      </c>
      <c r="AM78" s="14" t="s">
        <v>431</v>
      </c>
      <c r="AN78" s="14" t="s">
        <v>431</v>
      </c>
      <c r="AO78" s="14" t="s">
        <v>431</v>
      </c>
      <c r="AP78" s="14" t="s">
        <v>431</v>
      </c>
      <c r="AQ78" s="14" t="s">
        <v>431</v>
      </c>
      <c r="AR78" s="14" t="s">
        <v>431</v>
      </c>
      <c r="AS78" s="14" t="s">
        <v>431</v>
      </c>
      <c r="AT78" s="14" t="s">
        <v>431</v>
      </c>
      <c r="AU78" s="14" t="s">
        <v>431</v>
      </c>
    </row>
    <row r="79" spans="10:47" x14ac:dyDescent="0.2">
      <c r="J79" s="13" t="s">
        <v>345</v>
      </c>
      <c r="K79" s="14" t="s">
        <v>431</v>
      </c>
      <c r="L79" s="16" t="s">
        <v>431</v>
      </c>
      <c r="M79" s="14" t="s">
        <v>431</v>
      </c>
      <c r="N79" s="14" t="s">
        <v>431</v>
      </c>
      <c r="O79" s="14" t="s">
        <v>431</v>
      </c>
      <c r="P79" s="14" t="s">
        <v>431</v>
      </c>
      <c r="Q79" s="16" t="s">
        <v>431</v>
      </c>
      <c r="R79" s="14" t="s">
        <v>431</v>
      </c>
      <c r="S79" s="14" t="s">
        <v>431</v>
      </c>
      <c r="T79" s="14" t="s">
        <v>431</v>
      </c>
      <c r="U79" s="14" t="s">
        <v>431</v>
      </c>
      <c r="V79" s="16" t="s">
        <v>431</v>
      </c>
      <c r="W79" s="16" t="s">
        <v>431</v>
      </c>
      <c r="X79" s="16" t="s">
        <v>431</v>
      </c>
      <c r="Y79" s="16" t="s">
        <v>431</v>
      </c>
      <c r="Z79" s="16" t="s">
        <v>431</v>
      </c>
      <c r="AA79" s="14" t="s">
        <v>431</v>
      </c>
      <c r="AB79" s="14" t="s">
        <v>431</v>
      </c>
      <c r="AC79" s="14" t="s">
        <v>431</v>
      </c>
      <c r="AD79" s="14" t="s">
        <v>431</v>
      </c>
      <c r="AE79" s="16" t="s">
        <v>431</v>
      </c>
      <c r="AF79" s="16" t="s">
        <v>431</v>
      </c>
      <c r="AG79" s="16" t="s">
        <v>431</v>
      </c>
      <c r="AH79" s="14" t="s">
        <v>431</v>
      </c>
      <c r="AI79" s="14" t="s">
        <v>431</v>
      </c>
      <c r="AJ79" s="14" t="s">
        <v>431</v>
      </c>
      <c r="AK79" s="14" t="s">
        <v>431</v>
      </c>
      <c r="AL79" s="14" t="s">
        <v>431</v>
      </c>
      <c r="AM79" s="14" t="s">
        <v>431</v>
      </c>
      <c r="AN79" s="14" t="s">
        <v>431</v>
      </c>
      <c r="AO79" s="14" t="s">
        <v>431</v>
      </c>
      <c r="AP79" s="14" t="s">
        <v>431</v>
      </c>
      <c r="AQ79" s="14" t="s">
        <v>431</v>
      </c>
      <c r="AR79" s="14" t="s">
        <v>431</v>
      </c>
      <c r="AS79" s="14" t="s">
        <v>431</v>
      </c>
      <c r="AT79" s="14" t="s">
        <v>431</v>
      </c>
      <c r="AU79" s="14" t="s">
        <v>431</v>
      </c>
    </row>
    <row r="80" spans="10:47" x14ac:dyDescent="0.2">
      <c r="J80" s="13" t="s">
        <v>346</v>
      </c>
      <c r="K80" s="14" t="s">
        <v>431</v>
      </c>
      <c r="L80" s="14" t="s">
        <v>431</v>
      </c>
      <c r="M80" s="14" t="s">
        <v>431</v>
      </c>
      <c r="N80" s="14" t="s">
        <v>431</v>
      </c>
      <c r="O80" s="14" t="s">
        <v>431</v>
      </c>
      <c r="P80" s="14" t="s">
        <v>431</v>
      </c>
      <c r="Q80" s="14" t="s">
        <v>431</v>
      </c>
      <c r="R80" s="14" t="s">
        <v>431</v>
      </c>
      <c r="S80" s="14" t="s">
        <v>431</v>
      </c>
      <c r="T80" s="14" t="s">
        <v>431</v>
      </c>
      <c r="U80" s="14" t="s">
        <v>431</v>
      </c>
      <c r="V80" s="14" t="s">
        <v>431</v>
      </c>
      <c r="W80" s="14" t="s">
        <v>431</v>
      </c>
      <c r="X80" s="14" t="s">
        <v>431</v>
      </c>
      <c r="Y80" s="14" t="s">
        <v>431</v>
      </c>
      <c r="Z80" s="14" t="s">
        <v>431</v>
      </c>
      <c r="AA80" s="14" t="s">
        <v>431</v>
      </c>
      <c r="AB80" s="14" t="s">
        <v>431</v>
      </c>
      <c r="AC80" s="14" t="s">
        <v>431</v>
      </c>
      <c r="AD80" s="14" t="s">
        <v>431</v>
      </c>
      <c r="AE80" s="14" t="s">
        <v>431</v>
      </c>
      <c r="AF80" s="14" t="s">
        <v>431</v>
      </c>
      <c r="AG80" s="14" t="s">
        <v>431</v>
      </c>
      <c r="AH80" s="14" t="s">
        <v>431</v>
      </c>
      <c r="AI80" s="14" t="s">
        <v>431</v>
      </c>
      <c r="AJ80" s="14" t="s">
        <v>431</v>
      </c>
      <c r="AK80" s="14" t="s">
        <v>431</v>
      </c>
      <c r="AL80" s="14" t="s">
        <v>431</v>
      </c>
      <c r="AM80" s="14" t="s">
        <v>431</v>
      </c>
      <c r="AN80" s="14" t="s">
        <v>431</v>
      </c>
      <c r="AO80" s="14" t="s">
        <v>431</v>
      </c>
      <c r="AP80" s="14" t="s">
        <v>431</v>
      </c>
      <c r="AQ80" s="14" t="s">
        <v>431</v>
      </c>
      <c r="AR80" s="14" t="s">
        <v>431</v>
      </c>
      <c r="AS80" s="16" t="s">
        <v>431</v>
      </c>
      <c r="AT80" s="16" t="s">
        <v>431</v>
      </c>
      <c r="AU80" s="16" t="s">
        <v>431</v>
      </c>
    </row>
    <row r="81" spans="10:47" x14ac:dyDescent="0.2">
      <c r="J81" s="13" t="s">
        <v>347</v>
      </c>
      <c r="K81" s="14" t="s">
        <v>431</v>
      </c>
      <c r="L81" s="14" t="s">
        <v>431</v>
      </c>
      <c r="M81" s="14" t="s">
        <v>431</v>
      </c>
      <c r="N81" s="16" t="s">
        <v>431</v>
      </c>
      <c r="O81" s="16" t="s">
        <v>431</v>
      </c>
      <c r="P81" s="14" t="s">
        <v>431</v>
      </c>
      <c r="Q81" s="14" t="s">
        <v>431</v>
      </c>
      <c r="R81" s="14" t="s">
        <v>431</v>
      </c>
      <c r="S81" s="16" t="s">
        <v>431</v>
      </c>
      <c r="T81" s="16" t="s">
        <v>431</v>
      </c>
      <c r="U81" s="14" t="s">
        <v>431</v>
      </c>
      <c r="V81" s="14" t="s">
        <v>431</v>
      </c>
      <c r="W81" s="14" t="s">
        <v>431</v>
      </c>
      <c r="X81" s="14" t="s">
        <v>431</v>
      </c>
      <c r="Y81" s="14" t="s">
        <v>431</v>
      </c>
      <c r="Z81" s="14" t="s">
        <v>431</v>
      </c>
      <c r="AA81" s="14" t="s">
        <v>431</v>
      </c>
      <c r="AB81" s="14" t="s">
        <v>431</v>
      </c>
      <c r="AC81" s="14" t="s">
        <v>431</v>
      </c>
      <c r="AD81" s="14" t="s">
        <v>431</v>
      </c>
      <c r="AE81" s="14" t="s">
        <v>431</v>
      </c>
      <c r="AF81" s="14" t="s">
        <v>431</v>
      </c>
      <c r="AG81" s="14" t="s">
        <v>431</v>
      </c>
      <c r="AH81" s="14" t="s">
        <v>431</v>
      </c>
      <c r="AI81" s="14" t="s">
        <v>431</v>
      </c>
      <c r="AJ81" s="14" t="s">
        <v>431</v>
      </c>
      <c r="AK81" s="14" t="s">
        <v>431</v>
      </c>
      <c r="AL81" s="14" t="s">
        <v>431</v>
      </c>
      <c r="AM81" s="14" t="s">
        <v>431</v>
      </c>
      <c r="AN81" s="14" t="s">
        <v>431</v>
      </c>
      <c r="AO81" s="14" t="s">
        <v>431</v>
      </c>
      <c r="AP81" s="14" t="s">
        <v>431</v>
      </c>
      <c r="AQ81" s="14" t="s">
        <v>431</v>
      </c>
      <c r="AR81" s="14" t="s">
        <v>431</v>
      </c>
      <c r="AS81" s="14" t="s">
        <v>431</v>
      </c>
      <c r="AT81" s="14" t="s">
        <v>431</v>
      </c>
      <c r="AU81" s="14" t="s">
        <v>431</v>
      </c>
    </row>
    <row r="82" spans="10:47" x14ac:dyDescent="0.2">
      <c r="J82" s="13" t="s">
        <v>348</v>
      </c>
      <c r="K82" s="14" t="s">
        <v>431</v>
      </c>
      <c r="L82" s="14" t="s">
        <v>431</v>
      </c>
      <c r="M82" s="14" t="s">
        <v>431</v>
      </c>
      <c r="N82" s="16" t="s">
        <v>431</v>
      </c>
      <c r="O82" s="16" t="s">
        <v>431</v>
      </c>
      <c r="P82" s="14" t="s">
        <v>431</v>
      </c>
      <c r="Q82" s="14" t="s">
        <v>431</v>
      </c>
      <c r="R82" s="14" t="s">
        <v>431</v>
      </c>
      <c r="S82" s="16" t="s">
        <v>431</v>
      </c>
      <c r="T82" s="16" t="s">
        <v>431</v>
      </c>
      <c r="U82" s="14" t="s">
        <v>431</v>
      </c>
      <c r="V82" s="14" t="s">
        <v>431</v>
      </c>
      <c r="W82" s="14" t="s">
        <v>431</v>
      </c>
      <c r="X82" s="14" t="s">
        <v>431</v>
      </c>
      <c r="Y82" s="14" t="s">
        <v>431</v>
      </c>
      <c r="Z82" s="14" t="s">
        <v>431</v>
      </c>
      <c r="AA82" s="14" t="s">
        <v>431</v>
      </c>
      <c r="AB82" s="14" t="s">
        <v>431</v>
      </c>
      <c r="AC82" s="16" t="s">
        <v>431</v>
      </c>
      <c r="AD82" s="14" t="s">
        <v>431</v>
      </c>
      <c r="AE82" s="14" t="s">
        <v>431</v>
      </c>
      <c r="AF82" s="14" t="s">
        <v>431</v>
      </c>
      <c r="AG82" s="14" t="s">
        <v>431</v>
      </c>
      <c r="AH82" s="14" t="s">
        <v>431</v>
      </c>
      <c r="AI82" s="16" t="s">
        <v>431</v>
      </c>
      <c r="AJ82" s="16" t="s">
        <v>431</v>
      </c>
      <c r="AK82" s="16" t="s">
        <v>431</v>
      </c>
      <c r="AL82" s="16" t="s">
        <v>431</v>
      </c>
      <c r="AM82" s="16" t="s">
        <v>431</v>
      </c>
      <c r="AN82" s="16" t="s">
        <v>431</v>
      </c>
      <c r="AO82" s="16" t="s">
        <v>431</v>
      </c>
      <c r="AP82" s="16" t="s">
        <v>431</v>
      </c>
      <c r="AQ82" s="16" t="s">
        <v>431</v>
      </c>
      <c r="AR82" s="16" t="s">
        <v>431</v>
      </c>
      <c r="AS82" s="14" t="s">
        <v>431</v>
      </c>
      <c r="AT82" s="14" t="s">
        <v>431</v>
      </c>
      <c r="AU82" s="14" t="s">
        <v>431</v>
      </c>
    </row>
    <row r="83" spans="10:47" x14ac:dyDescent="0.2">
      <c r="J83" s="13" t="s">
        <v>349</v>
      </c>
      <c r="K83" s="14" t="s">
        <v>431</v>
      </c>
      <c r="L83" s="14" t="s">
        <v>431</v>
      </c>
      <c r="M83" s="14" t="s">
        <v>431</v>
      </c>
      <c r="N83" s="16" t="s">
        <v>431</v>
      </c>
      <c r="O83" s="14" t="s">
        <v>431</v>
      </c>
      <c r="P83" s="14" t="s">
        <v>431</v>
      </c>
      <c r="Q83" s="14" t="s">
        <v>431</v>
      </c>
      <c r="R83" s="14" t="s">
        <v>431</v>
      </c>
      <c r="S83" s="16" t="s">
        <v>431</v>
      </c>
      <c r="T83" s="14" t="s">
        <v>431</v>
      </c>
      <c r="U83" s="14" t="s">
        <v>431</v>
      </c>
      <c r="V83" s="14" t="s">
        <v>431</v>
      </c>
      <c r="W83" s="14" t="s">
        <v>431</v>
      </c>
      <c r="X83" s="14" t="s">
        <v>431</v>
      </c>
      <c r="Y83" s="14" t="s">
        <v>431</v>
      </c>
      <c r="Z83" s="14" t="s">
        <v>431</v>
      </c>
      <c r="AA83" s="14" t="s">
        <v>431</v>
      </c>
      <c r="AB83" s="14" t="s">
        <v>431</v>
      </c>
      <c r="AC83" s="16" t="s">
        <v>431</v>
      </c>
      <c r="AD83" s="14" t="s">
        <v>431</v>
      </c>
      <c r="AE83" s="14" t="s">
        <v>431</v>
      </c>
      <c r="AF83" s="14" t="s">
        <v>431</v>
      </c>
      <c r="AG83" s="14" t="s">
        <v>431</v>
      </c>
      <c r="AH83" s="14" t="s">
        <v>431</v>
      </c>
      <c r="AI83" s="16" t="s">
        <v>431</v>
      </c>
      <c r="AJ83" s="16" t="s">
        <v>431</v>
      </c>
      <c r="AK83" s="16" t="s">
        <v>431</v>
      </c>
      <c r="AL83" s="16" t="s">
        <v>431</v>
      </c>
      <c r="AM83" s="16" t="s">
        <v>431</v>
      </c>
      <c r="AN83" s="16" t="s">
        <v>431</v>
      </c>
      <c r="AO83" s="16" t="s">
        <v>431</v>
      </c>
      <c r="AP83" s="16" t="s">
        <v>431</v>
      </c>
      <c r="AQ83" s="16" t="s">
        <v>431</v>
      </c>
      <c r="AR83" s="16" t="s">
        <v>431</v>
      </c>
      <c r="AS83" s="14" t="s">
        <v>431</v>
      </c>
      <c r="AT83" s="14" t="s">
        <v>431</v>
      </c>
      <c r="AU83" s="14" t="s">
        <v>431</v>
      </c>
    </row>
    <row r="84" spans="10:47" x14ac:dyDescent="0.2">
      <c r="J84" s="13" t="s">
        <v>350</v>
      </c>
      <c r="K84" s="14" t="s">
        <v>431</v>
      </c>
      <c r="L84" s="14" t="s">
        <v>431</v>
      </c>
      <c r="M84" s="14" t="s">
        <v>431</v>
      </c>
      <c r="N84" s="16" t="s">
        <v>431</v>
      </c>
      <c r="O84" s="14" t="s">
        <v>431</v>
      </c>
      <c r="P84" s="14" t="s">
        <v>431</v>
      </c>
      <c r="Q84" s="14" t="s">
        <v>431</v>
      </c>
      <c r="R84" s="14" t="s">
        <v>431</v>
      </c>
      <c r="S84" s="16" t="s">
        <v>431</v>
      </c>
      <c r="T84" s="14" t="s">
        <v>431</v>
      </c>
      <c r="U84" s="14" t="s">
        <v>431</v>
      </c>
      <c r="V84" s="14" t="s">
        <v>431</v>
      </c>
      <c r="W84" s="14" t="s">
        <v>431</v>
      </c>
      <c r="X84" s="14" t="s">
        <v>431</v>
      </c>
      <c r="Y84" s="14" t="s">
        <v>431</v>
      </c>
      <c r="Z84" s="14" t="s">
        <v>431</v>
      </c>
      <c r="AA84" s="14" t="s">
        <v>431</v>
      </c>
      <c r="AB84" s="14" t="s">
        <v>431</v>
      </c>
      <c r="AC84" s="16" t="s">
        <v>431</v>
      </c>
      <c r="AD84" s="14" t="s">
        <v>431</v>
      </c>
      <c r="AE84" s="14" t="s">
        <v>431</v>
      </c>
      <c r="AF84" s="14" t="s">
        <v>431</v>
      </c>
      <c r="AG84" s="14" t="s">
        <v>431</v>
      </c>
      <c r="AH84" s="14" t="s">
        <v>431</v>
      </c>
      <c r="AI84" s="16" t="s">
        <v>431</v>
      </c>
      <c r="AJ84" s="16" t="s">
        <v>431</v>
      </c>
      <c r="AK84" s="16" t="s">
        <v>431</v>
      </c>
      <c r="AL84" s="16" t="s">
        <v>431</v>
      </c>
      <c r="AM84" s="16" t="s">
        <v>431</v>
      </c>
      <c r="AN84" s="16" t="s">
        <v>431</v>
      </c>
      <c r="AO84" s="16" t="s">
        <v>431</v>
      </c>
      <c r="AP84" s="16" t="s">
        <v>431</v>
      </c>
      <c r="AQ84" s="16" t="s">
        <v>431</v>
      </c>
      <c r="AR84" s="16" t="s">
        <v>431</v>
      </c>
      <c r="AS84" s="14" t="s">
        <v>431</v>
      </c>
      <c r="AT84" s="14" t="s">
        <v>431</v>
      </c>
      <c r="AU84" s="14" t="s">
        <v>431</v>
      </c>
    </row>
    <row r="85" spans="10:47" x14ac:dyDescent="0.2">
      <c r="J85" s="13" t="s">
        <v>351</v>
      </c>
      <c r="K85" s="14" t="s">
        <v>431</v>
      </c>
      <c r="L85" s="14" t="s">
        <v>431</v>
      </c>
      <c r="M85" s="14" t="s">
        <v>431</v>
      </c>
      <c r="N85" s="16" t="s">
        <v>431</v>
      </c>
      <c r="O85" s="14" t="s">
        <v>431</v>
      </c>
      <c r="P85" s="14" t="s">
        <v>431</v>
      </c>
      <c r="Q85" s="14" t="s">
        <v>431</v>
      </c>
      <c r="R85" s="14" t="s">
        <v>431</v>
      </c>
      <c r="S85" s="16" t="s">
        <v>431</v>
      </c>
      <c r="T85" s="14" t="s">
        <v>431</v>
      </c>
      <c r="U85" s="14" t="s">
        <v>431</v>
      </c>
      <c r="V85" s="14" t="s">
        <v>431</v>
      </c>
      <c r="W85" s="14" t="s">
        <v>431</v>
      </c>
      <c r="X85" s="14" t="s">
        <v>431</v>
      </c>
      <c r="Y85" s="14" t="s">
        <v>431</v>
      </c>
      <c r="Z85" s="14" t="s">
        <v>431</v>
      </c>
      <c r="AA85" s="14" t="s">
        <v>431</v>
      </c>
      <c r="AB85" s="14" t="s">
        <v>431</v>
      </c>
      <c r="AC85" s="16" t="s">
        <v>431</v>
      </c>
      <c r="AD85" s="14" t="s">
        <v>431</v>
      </c>
      <c r="AE85" s="14" t="s">
        <v>431</v>
      </c>
      <c r="AF85" s="14" t="s">
        <v>431</v>
      </c>
      <c r="AG85" s="14" t="s">
        <v>431</v>
      </c>
      <c r="AH85" s="14" t="s">
        <v>431</v>
      </c>
      <c r="AI85" s="16" t="s">
        <v>431</v>
      </c>
      <c r="AJ85" s="16" t="s">
        <v>431</v>
      </c>
      <c r="AK85" s="16" t="s">
        <v>431</v>
      </c>
      <c r="AL85" s="16" t="s">
        <v>431</v>
      </c>
      <c r="AM85" s="16" t="s">
        <v>431</v>
      </c>
      <c r="AN85" s="16" t="s">
        <v>431</v>
      </c>
      <c r="AO85" s="16" t="s">
        <v>431</v>
      </c>
      <c r="AP85" s="16" t="s">
        <v>431</v>
      </c>
      <c r="AQ85" s="16" t="s">
        <v>431</v>
      </c>
      <c r="AR85" s="16" t="s">
        <v>431</v>
      </c>
      <c r="AS85" s="14" t="s">
        <v>431</v>
      </c>
      <c r="AT85" s="14" t="s">
        <v>431</v>
      </c>
      <c r="AU85" s="14" t="s">
        <v>431</v>
      </c>
    </row>
    <row r="86" spans="10:47" x14ac:dyDescent="0.2">
      <c r="J86" s="13" t="s">
        <v>352</v>
      </c>
      <c r="K86" s="14" t="s">
        <v>431</v>
      </c>
      <c r="L86" s="14" t="s">
        <v>431</v>
      </c>
      <c r="M86" s="14" t="s">
        <v>431</v>
      </c>
      <c r="N86" s="16" t="s">
        <v>431</v>
      </c>
      <c r="O86" s="14" t="s">
        <v>431</v>
      </c>
      <c r="P86" s="14" t="s">
        <v>431</v>
      </c>
      <c r="Q86" s="14" t="s">
        <v>431</v>
      </c>
      <c r="R86" s="14" t="s">
        <v>431</v>
      </c>
      <c r="S86" s="16" t="s">
        <v>431</v>
      </c>
      <c r="T86" s="14" t="s">
        <v>431</v>
      </c>
      <c r="U86" s="14" t="s">
        <v>431</v>
      </c>
      <c r="V86" s="14" t="s">
        <v>431</v>
      </c>
      <c r="W86" s="14" t="s">
        <v>431</v>
      </c>
      <c r="X86" s="14" t="s">
        <v>431</v>
      </c>
      <c r="Y86" s="14" t="s">
        <v>431</v>
      </c>
      <c r="Z86" s="14" t="s">
        <v>431</v>
      </c>
      <c r="AA86" s="14" t="s">
        <v>431</v>
      </c>
      <c r="AB86" s="14" t="s">
        <v>431</v>
      </c>
      <c r="AC86" s="16" t="s">
        <v>431</v>
      </c>
      <c r="AD86" s="14" t="s">
        <v>431</v>
      </c>
      <c r="AE86" s="14" t="s">
        <v>431</v>
      </c>
      <c r="AF86" s="14" t="s">
        <v>431</v>
      </c>
      <c r="AG86" s="14" t="s">
        <v>431</v>
      </c>
      <c r="AH86" s="14" t="s">
        <v>431</v>
      </c>
      <c r="AI86" s="16" t="s">
        <v>431</v>
      </c>
      <c r="AJ86" s="16" t="s">
        <v>431</v>
      </c>
      <c r="AK86" s="16" t="s">
        <v>431</v>
      </c>
      <c r="AL86" s="16" t="s">
        <v>431</v>
      </c>
      <c r="AM86" s="16" t="s">
        <v>431</v>
      </c>
      <c r="AN86" s="16" t="s">
        <v>431</v>
      </c>
      <c r="AO86" s="16" t="s">
        <v>431</v>
      </c>
      <c r="AP86" s="16" t="s">
        <v>431</v>
      </c>
      <c r="AQ86" s="16" t="s">
        <v>431</v>
      </c>
      <c r="AR86" s="16" t="s">
        <v>431</v>
      </c>
      <c r="AS86" s="14" t="s">
        <v>431</v>
      </c>
      <c r="AT86" s="14" t="s">
        <v>431</v>
      </c>
      <c r="AU86" s="14" t="s">
        <v>431</v>
      </c>
    </row>
    <row r="87" spans="10:47" x14ac:dyDescent="0.2">
      <c r="J87" s="13" t="s">
        <v>353</v>
      </c>
      <c r="K87" s="14" t="s">
        <v>431</v>
      </c>
      <c r="L87" s="14" t="s">
        <v>431</v>
      </c>
      <c r="M87" s="14" t="s">
        <v>431</v>
      </c>
      <c r="N87" s="16" t="s">
        <v>431</v>
      </c>
      <c r="O87" s="14" t="s">
        <v>431</v>
      </c>
      <c r="P87" s="14" t="s">
        <v>431</v>
      </c>
      <c r="Q87" s="14" t="s">
        <v>431</v>
      </c>
      <c r="R87" s="14" t="s">
        <v>431</v>
      </c>
      <c r="S87" s="16" t="s">
        <v>431</v>
      </c>
      <c r="T87" s="14" t="s">
        <v>431</v>
      </c>
      <c r="U87" s="14" t="s">
        <v>431</v>
      </c>
      <c r="V87" s="14" t="s">
        <v>431</v>
      </c>
      <c r="W87" s="14" t="s">
        <v>431</v>
      </c>
      <c r="X87" s="14" t="s">
        <v>431</v>
      </c>
      <c r="Y87" s="14" t="s">
        <v>431</v>
      </c>
      <c r="Z87" s="14" t="s">
        <v>431</v>
      </c>
      <c r="AA87" s="14" t="s">
        <v>431</v>
      </c>
      <c r="AB87" s="14" t="s">
        <v>431</v>
      </c>
      <c r="AC87" s="16" t="s">
        <v>431</v>
      </c>
      <c r="AD87" s="14" t="s">
        <v>431</v>
      </c>
      <c r="AE87" s="14" t="s">
        <v>431</v>
      </c>
      <c r="AF87" s="14" t="s">
        <v>431</v>
      </c>
      <c r="AG87" s="14" t="s">
        <v>431</v>
      </c>
      <c r="AH87" s="14" t="s">
        <v>431</v>
      </c>
      <c r="AI87" s="16" t="s">
        <v>431</v>
      </c>
      <c r="AJ87" s="16" t="s">
        <v>431</v>
      </c>
      <c r="AK87" s="16" t="s">
        <v>431</v>
      </c>
      <c r="AL87" s="16" t="s">
        <v>431</v>
      </c>
      <c r="AM87" s="16" t="s">
        <v>431</v>
      </c>
      <c r="AN87" s="16" t="s">
        <v>431</v>
      </c>
      <c r="AO87" s="16" t="s">
        <v>431</v>
      </c>
      <c r="AP87" s="16" t="s">
        <v>431</v>
      </c>
      <c r="AQ87" s="16" t="s">
        <v>431</v>
      </c>
      <c r="AR87" s="16" t="s">
        <v>431</v>
      </c>
      <c r="AS87" s="14" t="s">
        <v>431</v>
      </c>
      <c r="AT87" s="14" t="s">
        <v>431</v>
      </c>
      <c r="AU87" s="14" t="s">
        <v>431</v>
      </c>
    </row>
    <row r="88" spans="10:47" x14ac:dyDescent="0.2">
      <c r="J88" s="13" t="s">
        <v>354</v>
      </c>
      <c r="K88" s="14" t="s">
        <v>431</v>
      </c>
      <c r="L88" s="14" t="s">
        <v>431</v>
      </c>
      <c r="M88" s="14" t="s">
        <v>431</v>
      </c>
      <c r="N88" s="16" t="s">
        <v>431</v>
      </c>
      <c r="O88" s="14" t="s">
        <v>431</v>
      </c>
      <c r="P88" s="14" t="s">
        <v>431</v>
      </c>
      <c r="Q88" s="14" t="s">
        <v>431</v>
      </c>
      <c r="R88" s="14" t="s">
        <v>431</v>
      </c>
      <c r="S88" s="16" t="s">
        <v>431</v>
      </c>
      <c r="T88" s="14" t="s">
        <v>431</v>
      </c>
      <c r="U88" s="14" t="s">
        <v>431</v>
      </c>
      <c r="V88" s="14" t="s">
        <v>431</v>
      </c>
      <c r="W88" s="14" t="s">
        <v>431</v>
      </c>
      <c r="X88" s="14" t="s">
        <v>431</v>
      </c>
      <c r="Y88" s="14" t="s">
        <v>431</v>
      </c>
      <c r="Z88" s="14" t="s">
        <v>431</v>
      </c>
      <c r="AA88" s="14" t="s">
        <v>431</v>
      </c>
      <c r="AB88" s="14" t="s">
        <v>431</v>
      </c>
      <c r="AC88" s="16" t="s">
        <v>431</v>
      </c>
      <c r="AD88" s="14" t="s">
        <v>431</v>
      </c>
      <c r="AE88" s="14" t="s">
        <v>431</v>
      </c>
      <c r="AF88" s="14" t="s">
        <v>431</v>
      </c>
      <c r="AG88" s="14" t="s">
        <v>431</v>
      </c>
      <c r="AH88" s="14" t="s">
        <v>431</v>
      </c>
      <c r="AI88" s="16" t="s">
        <v>431</v>
      </c>
      <c r="AJ88" s="16" t="s">
        <v>431</v>
      </c>
      <c r="AK88" s="16" t="s">
        <v>431</v>
      </c>
      <c r="AL88" s="16" t="s">
        <v>431</v>
      </c>
      <c r="AM88" s="16" t="s">
        <v>431</v>
      </c>
      <c r="AN88" s="16" t="s">
        <v>431</v>
      </c>
      <c r="AO88" s="16" t="s">
        <v>431</v>
      </c>
      <c r="AP88" s="16" t="s">
        <v>431</v>
      </c>
      <c r="AQ88" s="16" t="s">
        <v>431</v>
      </c>
      <c r="AR88" s="16" t="s">
        <v>431</v>
      </c>
      <c r="AS88" s="14" t="s">
        <v>431</v>
      </c>
      <c r="AT88" s="14" t="s">
        <v>431</v>
      </c>
      <c r="AU88" s="14" t="s">
        <v>431</v>
      </c>
    </row>
    <row r="89" spans="10:47" x14ac:dyDescent="0.2">
      <c r="J89" s="13" t="s">
        <v>355</v>
      </c>
      <c r="K89" s="14" t="s">
        <v>431</v>
      </c>
      <c r="L89" s="14" t="s">
        <v>431</v>
      </c>
      <c r="M89" s="14" t="s">
        <v>431</v>
      </c>
      <c r="N89" s="16" t="s">
        <v>431</v>
      </c>
      <c r="O89" s="14" t="s">
        <v>431</v>
      </c>
      <c r="P89" s="14" t="s">
        <v>431</v>
      </c>
      <c r="Q89" s="14" t="s">
        <v>431</v>
      </c>
      <c r="R89" s="14" t="s">
        <v>431</v>
      </c>
      <c r="S89" s="16" t="s">
        <v>431</v>
      </c>
      <c r="T89" s="14" t="s">
        <v>431</v>
      </c>
      <c r="U89" s="14" t="s">
        <v>431</v>
      </c>
      <c r="V89" s="14" t="s">
        <v>431</v>
      </c>
      <c r="W89" s="14" t="s">
        <v>431</v>
      </c>
      <c r="X89" s="14" t="s">
        <v>431</v>
      </c>
      <c r="Y89" s="14" t="s">
        <v>431</v>
      </c>
      <c r="Z89" s="14" t="s">
        <v>431</v>
      </c>
      <c r="AA89" s="14" t="s">
        <v>431</v>
      </c>
      <c r="AB89" s="14" t="s">
        <v>431</v>
      </c>
      <c r="AC89" s="16" t="s">
        <v>431</v>
      </c>
      <c r="AD89" s="14" t="s">
        <v>431</v>
      </c>
      <c r="AE89" s="14" t="s">
        <v>431</v>
      </c>
      <c r="AF89" s="14" t="s">
        <v>431</v>
      </c>
      <c r="AG89" s="14" t="s">
        <v>431</v>
      </c>
      <c r="AH89" s="14" t="s">
        <v>431</v>
      </c>
      <c r="AI89" s="16" t="s">
        <v>431</v>
      </c>
      <c r="AJ89" s="16" t="s">
        <v>431</v>
      </c>
      <c r="AK89" s="16" t="s">
        <v>431</v>
      </c>
      <c r="AL89" s="16" t="s">
        <v>431</v>
      </c>
      <c r="AM89" s="16" t="s">
        <v>431</v>
      </c>
      <c r="AN89" s="16" t="s">
        <v>431</v>
      </c>
      <c r="AO89" s="16" t="s">
        <v>431</v>
      </c>
      <c r="AP89" s="16" t="s">
        <v>431</v>
      </c>
      <c r="AQ89" s="16" t="s">
        <v>431</v>
      </c>
      <c r="AR89" s="16" t="s">
        <v>431</v>
      </c>
      <c r="AS89" s="14" t="s">
        <v>431</v>
      </c>
      <c r="AT89" s="14" t="s">
        <v>431</v>
      </c>
      <c r="AU89" s="14" t="s">
        <v>431</v>
      </c>
    </row>
    <row r="90" spans="10:47" x14ac:dyDescent="0.2">
      <c r="J90" s="13" t="s">
        <v>356</v>
      </c>
      <c r="K90" s="14" t="s">
        <v>431</v>
      </c>
      <c r="L90" s="14" t="s">
        <v>431</v>
      </c>
      <c r="M90" s="14" t="s">
        <v>431</v>
      </c>
      <c r="N90" s="14" t="s">
        <v>431</v>
      </c>
      <c r="O90" s="14" t="s">
        <v>431</v>
      </c>
      <c r="P90" s="14" t="s">
        <v>431</v>
      </c>
      <c r="Q90" s="14" t="s">
        <v>431</v>
      </c>
      <c r="R90" s="14" t="s">
        <v>431</v>
      </c>
      <c r="S90" s="14" t="s">
        <v>431</v>
      </c>
      <c r="T90" s="14" t="s">
        <v>431</v>
      </c>
      <c r="U90" s="14" t="s">
        <v>431</v>
      </c>
      <c r="V90" s="14" t="s">
        <v>431</v>
      </c>
      <c r="W90" s="14" t="s">
        <v>431</v>
      </c>
      <c r="X90" s="14" t="s">
        <v>431</v>
      </c>
      <c r="Y90" s="14" t="s">
        <v>431</v>
      </c>
      <c r="Z90" s="14" t="s">
        <v>431</v>
      </c>
      <c r="AA90" s="14" t="s">
        <v>431</v>
      </c>
      <c r="AB90" s="14" t="s">
        <v>431</v>
      </c>
      <c r="AC90" s="14" t="s">
        <v>431</v>
      </c>
      <c r="AD90" s="14" t="s">
        <v>431</v>
      </c>
      <c r="AE90" s="14" t="s">
        <v>431</v>
      </c>
      <c r="AF90" s="14" t="s">
        <v>431</v>
      </c>
      <c r="AG90" s="14" t="s">
        <v>431</v>
      </c>
      <c r="AH90" s="14" t="s">
        <v>431</v>
      </c>
      <c r="AI90" s="14" t="s">
        <v>431</v>
      </c>
      <c r="AJ90" s="14" t="s">
        <v>431</v>
      </c>
      <c r="AK90" s="14" t="s">
        <v>431</v>
      </c>
      <c r="AL90" s="14" t="s">
        <v>431</v>
      </c>
      <c r="AM90" s="14" t="s">
        <v>431</v>
      </c>
      <c r="AN90" s="14" t="s">
        <v>431</v>
      </c>
      <c r="AO90" s="14" t="s">
        <v>431</v>
      </c>
      <c r="AP90" s="14" t="s">
        <v>431</v>
      </c>
      <c r="AQ90" s="14" t="s">
        <v>431</v>
      </c>
      <c r="AR90" s="14" t="s">
        <v>431</v>
      </c>
      <c r="AS90" s="16" t="s">
        <v>431</v>
      </c>
      <c r="AT90" s="16" t="s">
        <v>431</v>
      </c>
      <c r="AU90" s="16" t="s">
        <v>431</v>
      </c>
    </row>
    <row r="91" spans="10:47" x14ac:dyDescent="0.2">
      <c r="J91" s="13" t="s">
        <v>357</v>
      </c>
      <c r="K91" s="14" t="s">
        <v>431</v>
      </c>
      <c r="L91" s="14" t="s">
        <v>431</v>
      </c>
      <c r="M91" s="14" t="s">
        <v>431</v>
      </c>
      <c r="N91" s="14" t="s">
        <v>431</v>
      </c>
      <c r="O91" s="14" t="s">
        <v>431</v>
      </c>
      <c r="P91" s="14" t="s">
        <v>431</v>
      </c>
      <c r="Q91" s="14" t="s">
        <v>431</v>
      </c>
      <c r="R91" s="14" t="s">
        <v>431</v>
      </c>
      <c r="S91" s="14" t="s">
        <v>431</v>
      </c>
      <c r="T91" s="14" t="s">
        <v>431</v>
      </c>
      <c r="U91" s="14" t="s">
        <v>431</v>
      </c>
      <c r="V91" s="14" t="s">
        <v>431</v>
      </c>
      <c r="W91" s="14" t="s">
        <v>431</v>
      </c>
      <c r="X91" s="14" t="s">
        <v>431</v>
      </c>
      <c r="Y91" s="14" t="s">
        <v>431</v>
      </c>
      <c r="Z91" s="14" t="s">
        <v>431</v>
      </c>
      <c r="AA91" s="14" t="s">
        <v>431</v>
      </c>
      <c r="AB91" s="14" t="s">
        <v>431</v>
      </c>
      <c r="AC91" s="14" t="s">
        <v>431</v>
      </c>
      <c r="AD91" s="14" t="s">
        <v>431</v>
      </c>
      <c r="AE91" s="14" t="s">
        <v>431</v>
      </c>
      <c r="AF91" s="14" t="s">
        <v>431</v>
      </c>
      <c r="AG91" s="14" t="s">
        <v>431</v>
      </c>
      <c r="AH91" s="14" t="s">
        <v>431</v>
      </c>
      <c r="AI91" s="14" t="s">
        <v>431</v>
      </c>
      <c r="AJ91" s="14" t="s">
        <v>431</v>
      </c>
      <c r="AK91" s="14" t="s">
        <v>431</v>
      </c>
      <c r="AL91" s="14" t="s">
        <v>431</v>
      </c>
      <c r="AM91" s="14" t="s">
        <v>431</v>
      </c>
      <c r="AN91" s="14" t="s">
        <v>431</v>
      </c>
      <c r="AO91" s="14" t="s">
        <v>431</v>
      </c>
      <c r="AP91" s="14" t="s">
        <v>431</v>
      </c>
      <c r="AQ91" s="14" t="s">
        <v>431</v>
      </c>
      <c r="AR91" s="14" t="s">
        <v>431</v>
      </c>
      <c r="AS91" s="16" t="s">
        <v>431</v>
      </c>
      <c r="AT91" s="16" t="s">
        <v>431</v>
      </c>
      <c r="AU91" s="16" t="s">
        <v>431</v>
      </c>
    </row>
    <row r="92" spans="10:47" x14ac:dyDescent="0.2">
      <c r="J92" s="13" t="s">
        <v>358</v>
      </c>
      <c r="K92" s="14" t="s">
        <v>431</v>
      </c>
      <c r="L92" s="14" t="s">
        <v>431</v>
      </c>
      <c r="M92" s="14" t="s">
        <v>431</v>
      </c>
      <c r="N92" s="14" t="s">
        <v>431</v>
      </c>
      <c r="O92" s="14" t="s">
        <v>431</v>
      </c>
      <c r="P92" s="14" t="s">
        <v>431</v>
      </c>
      <c r="Q92" s="14" t="s">
        <v>431</v>
      </c>
      <c r="R92" s="14" t="s">
        <v>431</v>
      </c>
      <c r="S92" s="14" t="s">
        <v>431</v>
      </c>
      <c r="T92" s="14" t="s">
        <v>431</v>
      </c>
      <c r="U92" s="14" t="s">
        <v>431</v>
      </c>
      <c r="V92" s="14" t="s">
        <v>431</v>
      </c>
      <c r="W92" s="14" t="s">
        <v>431</v>
      </c>
      <c r="X92" s="14" t="s">
        <v>431</v>
      </c>
      <c r="Y92" s="14" t="s">
        <v>431</v>
      </c>
      <c r="Z92" s="14" t="s">
        <v>431</v>
      </c>
      <c r="AA92" s="14" t="s">
        <v>431</v>
      </c>
      <c r="AB92" s="14" t="s">
        <v>431</v>
      </c>
      <c r="AC92" s="14" t="s">
        <v>431</v>
      </c>
      <c r="AD92" s="14" t="s">
        <v>431</v>
      </c>
      <c r="AE92" s="14" t="s">
        <v>431</v>
      </c>
      <c r="AF92" s="14" t="s">
        <v>431</v>
      </c>
      <c r="AG92" s="14" t="s">
        <v>431</v>
      </c>
      <c r="AH92" s="14" t="s">
        <v>431</v>
      </c>
      <c r="AI92" s="14" t="s">
        <v>431</v>
      </c>
      <c r="AJ92" s="14" t="s">
        <v>431</v>
      </c>
      <c r="AK92" s="14" t="s">
        <v>431</v>
      </c>
      <c r="AL92" s="14" t="s">
        <v>431</v>
      </c>
      <c r="AM92" s="14" t="s">
        <v>431</v>
      </c>
      <c r="AN92" s="14" t="s">
        <v>431</v>
      </c>
      <c r="AO92" s="14" t="s">
        <v>431</v>
      </c>
      <c r="AP92" s="14" t="s">
        <v>431</v>
      </c>
      <c r="AQ92" s="14" t="s">
        <v>431</v>
      </c>
      <c r="AR92" s="14" t="s">
        <v>431</v>
      </c>
      <c r="AS92" s="16" t="s">
        <v>431</v>
      </c>
      <c r="AT92" s="16" t="s">
        <v>431</v>
      </c>
      <c r="AU92" s="16" t="s">
        <v>431</v>
      </c>
    </row>
    <row r="93" spans="10:47" x14ac:dyDescent="0.2">
      <c r="J93" s="13" t="s">
        <v>359</v>
      </c>
      <c r="K93" s="14" t="s">
        <v>431</v>
      </c>
      <c r="L93" s="14" t="s">
        <v>431</v>
      </c>
      <c r="M93" s="14" t="s">
        <v>431</v>
      </c>
      <c r="N93" s="14" t="s">
        <v>431</v>
      </c>
      <c r="O93" s="14" t="s">
        <v>431</v>
      </c>
      <c r="P93" s="14" t="s">
        <v>431</v>
      </c>
      <c r="Q93" s="14" t="s">
        <v>431</v>
      </c>
      <c r="R93" s="14" t="s">
        <v>431</v>
      </c>
      <c r="S93" s="14" t="s">
        <v>431</v>
      </c>
      <c r="T93" s="14" t="s">
        <v>431</v>
      </c>
      <c r="U93" s="14" t="s">
        <v>431</v>
      </c>
      <c r="V93" s="14" t="s">
        <v>431</v>
      </c>
      <c r="W93" s="14" t="s">
        <v>431</v>
      </c>
      <c r="X93" s="14" t="s">
        <v>431</v>
      </c>
      <c r="Y93" s="14" t="s">
        <v>431</v>
      </c>
      <c r="Z93" s="14" t="s">
        <v>431</v>
      </c>
      <c r="AA93" s="14" t="s">
        <v>431</v>
      </c>
      <c r="AB93" s="14" t="s">
        <v>431</v>
      </c>
      <c r="AC93" s="14" t="s">
        <v>431</v>
      </c>
      <c r="AD93" s="14" t="s">
        <v>431</v>
      </c>
      <c r="AE93" s="14" t="s">
        <v>431</v>
      </c>
      <c r="AF93" s="14" t="s">
        <v>431</v>
      </c>
      <c r="AG93" s="14" t="s">
        <v>431</v>
      </c>
      <c r="AH93" s="14" t="s">
        <v>431</v>
      </c>
      <c r="AI93" s="14" t="s">
        <v>431</v>
      </c>
      <c r="AJ93" s="14" t="s">
        <v>431</v>
      </c>
      <c r="AK93" s="14" t="s">
        <v>431</v>
      </c>
      <c r="AL93" s="14" t="s">
        <v>431</v>
      </c>
      <c r="AM93" s="14" t="s">
        <v>431</v>
      </c>
      <c r="AN93" s="14" t="s">
        <v>431</v>
      </c>
      <c r="AO93" s="14" t="s">
        <v>431</v>
      </c>
      <c r="AP93" s="14" t="s">
        <v>431</v>
      </c>
      <c r="AQ93" s="14" t="s">
        <v>431</v>
      </c>
      <c r="AR93" s="14" t="s">
        <v>431</v>
      </c>
      <c r="AS93" s="16" t="s">
        <v>431</v>
      </c>
      <c r="AT93" s="16" t="s">
        <v>431</v>
      </c>
      <c r="AU93" s="16" t="s">
        <v>431</v>
      </c>
    </row>
    <row r="94" spans="10:47" x14ac:dyDescent="0.2">
      <c r="J94" s="13" t="s">
        <v>360</v>
      </c>
      <c r="K94" s="14" t="s">
        <v>431</v>
      </c>
      <c r="L94" s="14" t="s">
        <v>431</v>
      </c>
      <c r="M94" s="14" t="s">
        <v>431</v>
      </c>
      <c r="N94" s="14" t="s">
        <v>431</v>
      </c>
      <c r="O94" s="14" t="s">
        <v>431</v>
      </c>
      <c r="P94" s="14" t="s">
        <v>431</v>
      </c>
      <c r="Q94" s="14" t="s">
        <v>431</v>
      </c>
      <c r="R94" s="14" t="s">
        <v>431</v>
      </c>
      <c r="S94" s="14" t="s">
        <v>431</v>
      </c>
      <c r="T94" s="14" t="s">
        <v>431</v>
      </c>
      <c r="U94" s="14" t="s">
        <v>431</v>
      </c>
      <c r="V94" s="14" t="s">
        <v>431</v>
      </c>
      <c r="W94" s="14" t="s">
        <v>431</v>
      </c>
      <c r="X94" s="14" t="s">
        <v>431</v>
      </c>
      <c r="Y94" s="14" t="s">
        <v>431</v>
      </c>
      <c r="Z94" s="14" t="s">
        <v>431</v>
      </c>
      <c r="AA94" s="14" t="s">
        <v>431</v>
      </c>
      <c r="AB94" s="14" t="s">
        <v>431</v>
      </c>
      <c r="AC94" s="14" t="s">
        <v>431</v>
      </c>
      <c r="AD94" s="14" t="s">
        <v>431</v>
      </c>
      <c r="AE94" s="14" t="s">
        <v>431</v>
      </c>
      <c r="AF94" s="14" t="s">
        <v>431</v>
      </c>
      <c r="AG94" s="14" t="s">
        <v>431</v>
      </c>
      <c r="AH94" s="14" t="s">
        <v>431</v>
      </c>
      <c r="AI94" s="14" t="s">
        <v>431</v>
      </c>
      <c r="AJ94" s="14" t="s">
        <v>431</v>
      </c>
      <c r="AK94" s="14" t="s">
        <v>431</v>
      </c>
      <c r="AL94" s="14" t="s">
        <v>431</v>
      </c>
      <c r="AM94" s="14" t="s">
        <v>431</v>
      </c>
      <c r="AN94" s="14" t="s">
        <v>431</v>
      </c>
      <c r="AO94" s="14" t="s">
        <v>431</v>
      </c>
      <c r="AP94" s="14" t="s">
        <v>431</v>
      </c>
      <c r="AQ94" s="14" t="s">
        <v>431</v>
      </c>
      <c r="AR94" s="14" t="s">
        <v>431</v>
      </c>
      <c r="AS94" s="16" t="s">
        <v>431</v>
      </c>
      <c r="AT94" s="16" t="s">
        <v>431</v>
      </c>
      <c r="AU94" s="16" t="s">
        <v>431</v>
      </c>
    </row>
    <row r="95" spans="10:47" x14ac:dyDescent="0.2">
      <c r="J95" s="13" t="s">
        <v>361</v>
      </c>
      <c r="K95" s="14" t="s">
        <v>431</v>
      </c>
      <c r="L95" s="14" t="s">
        <v>431</v>
      </c>
      <c r="M95" s="14" t="s">
        <v>431</v>
      </c>
      <c r="N95" s="14" t="s">
        <v>431</v>
      </c>
      <c r="O95" s="14" t="s">
        <v>431</v>
      </c>
      <c r="P95" s="14" t="s">
        <v>431</v>
      </c>
      <c r="Q95" s="14" t="s">
        <v>431</v>
      </c>
      <c r="R95" s="14" t="s">
        <v>431</v>
      </c>
      <c r="S95" s="14" t="s">
        <v>431</v>
      </c>
      <c r="T95" s="14" t="s">
        <v>431</v>
      </c>
      <c r="U95" s="14" t="s">
        <v>431</v>
      </c>
      <c r="V95" s="14" t="s">
        <v>431</v>
      </c>
      <c r="W95" s="14" t="s">
        <v>431</v>
      </c>
      <c r="X95" s="14" t="s">
        <v>431</v>
      </c>
      <c r="Y95" s="14" t="s">
        <v>431</v>
      </c>
      <c r="Z95" s="14" t="s">
        <v>431</v>
      </c>
      <c r="AA95" s="14" t="s">
        <v>431</v>
      </c>
      <c r="AB95" s="14" t="s">
        <v>431</v>
      </c>
      <c r="AC95" s="14" t="s">
        <v>431</v>
      </c>
      <c r="AD95" s="14" t="s">
        <v>431</v>
      </c>
      <c r="AE95" s="14" t="s">
        <v>431</v>
      </c>
      <c r="AF95" s="14" t="s">
        <v>431</v>
      </c>
      <c r="AG95" s="14" t="s">
        <v>431</v>
      </c>
      <c r="AH95" s="14" t="s">
        <v>431</v>
      </c>
      <c r="AI95" s="14" t="s">
        <v>431</v>
      </c>
      <c r="AJ95" s="14" t="s">
        <v>431</v>
      </c>
      <c r="AK95" s="14" t="s">
        <v>431</v>
      </c>
      <c r="AL95" s="14" t="s">
        <v>431</v>
      </c>
      <c r="AM95" s="14" t="s">
        <v>431</v>
      </c>
      <c r="AN95" s="14" t="s">
        <v>431</v>
      </c>
      <c r="AO95" s="14" t="s">
        <v>431</v>
      </c>
      <c r="AP95" s="14" t="s">
        <v>431</v>
      </c>
      <c r="AQ95" s="14" t="s">
        <v>431</v>
      </c>
      <c r="AR95" s="14" t="s">
        <v>431</v>
      </c>
      <c r="AS95" s="14" t="s">
        <v>431</v>
      </c>
      <c r="AT95" s="14" t="s">
        <v>431</v>
      </c>
      <c r="AU95" s="14" t="s">
        <v>431</v>
      </c>
    </row>
    <row r="96" spans="10:47" x14ac:dyDescent="0.2">
      <c r="J96" s="13" t="s">
        <v>362</v>
      </c>
      <c r="K96" s="14" t="s">
        <v>431</v>
      </c>
      <c r="L96" s="14" t="s">
        <v>431</v>
      </c>
      <c r="M96" s="14" t="s">
        <v>431</v>
      </c>
      <c r="N96" s="14" t="s">
        <v>431</v>
      </c>
      <c r="O96" s="14" t="s">
        <v>431</v>
      </c>
      <c r="P96" s="14" t="s">
        <v>431</v>
      </c>
      <c r="Q96" s="14" t="s">
        <v>431</v>
      </c>
      <c r="R96" s="14" t="s">
        <v>431</v>
      </c>
      <c r="S96" s="14" t="s">
        <v>431</v>
      </c>
      <c r="T96" s="14" t="s">
        <v>431</v>
      </c>
      <c r="U96" s="14" t="s">
        <v>431</v>
      </c>
      <c r="V96" s="14" t="s">
        <v>431</v>
      </c>
      <c r="W96" s="14" t="s">
        <v>431</v>
      </c>
      <c r="X96" s="14" t="s">
        <v>431</v>
      </c>
      <c r="Y96" s="14" t="s">
        <v>431</v>
      </c>
      <c r="Z96" s="14" t="s">
        <v>431</v>
      </c>
      <c r="AA96" s="14" t="s">
        <v>431</v>
      </c>
      <c r="AB96" s="14" t="s">
        <v>431</v>
      </c>
      <c r="AC96" s="14" t="s">
        <v>431</v>
      </c>
      <c r="AD96" s="14" t="s">
        <v>431</v>
      </c>
      <c r="AE96" s="14" t="s">
        <v>431</v>
      </c>
      <c r="AF96" s="14" t="s">
        <v>431</v>
      </c>
      <c r="AG96" s="14" t="s">
        <v>431</v>
      </c>
      <c r="AH96" s="14" t="s">
        <v>431</v>
      </c>
      <c r="AI96" s="14" t="s">
        <v>431</v>
      </c>
      <c r="AJ96" s="14" t="s">
        <v>431</v>
      </c>
      <c r="AK96" s="14" t="s">
        <v>431</v>
      </c>
      <c r="AL96" s="14" t="s">
        <v>431</v>
      </c>
      <c r="AM96" s="14" t="s">
        <v>431</v>
      </c>
      <c r="AN96" s="14" t="s">
        <v>431</v>
      </c>
      <c r="AO96" s="14" t="s">
        <v>431</v>
      </c>
      <c r="AP96" s="14" t="s">
        <v>431</v>
      </c>
      <c r="AQ96" s="14" t="s">
        <v>431</v>
      </c>
      <c r="AR96" s="14" t="s">
        <v>431</v>
      </c>
      <c r="AS96" s="14" t="s">
        <v>431</v>
      </c>
      <c r="AT96" s="14" t="s">
        <v>431</v>
      </c>
      <c r="AU96" s="14" t="s">
        <v>431</v>
      </c>
    </row>
    <row r="97" spans="10:47" x14ac:dyDescent="0.2">
      <c r="J97" s="13" t="s">
        <v>363</v>
      </c>
      <c r="K97" s="14" t="s">
        <v>431</v>
      </c>
      <c r="L97" s="14" t="s">
        <v>431</v>
      </c>
      <c r="M97" s="14" t="s">
        <v>431</v>
      </c>
      <c r="N97" s="14" t="s">
        <v>431</v>
      </c>
      <c r="O97" s="14" t="s">
        <v>431</v>
      </c>
      <c r="P97" s="14" t="s">
        <v>431</v>
      </c>
      <c r="Q97" s="14" t="s">
        <v>431</v>
      </c>
      <c r="R97" s="14" t="s">
        <v>431</v>
      </c>
      <c r="S97" s="14" t="s">
        <v>431</v>
      </c>
      <c r="T97" s="14" t="s">
        <v>431</v>
      </c>
      <c r="U97" s="14" t="s">
        <v>431</v>
      </c>
      <c r="V97" s="14" t="s">
        <v>431</v>
      </c>
      <c r="W97" s="14" t="s">
        <v>431</v>
      </c>
      <c r="X97" s="14" t="s">
        <v>431</v>
      </c>
      <c r="Y97" s="14" t="s">
        <v>431</v>
      </c>
      <c r="Z97" s="14" t="s">
        <v>431</v>
      </c>
      <c r="AA97" s="14" t="s">
        <v>431</v>
      </c>
      <c r="AB97" s="14" t="s">
        <v>431</v>
      </c>
      <c r="AC97" s="14" t="s">
        <v>431</v>
      </c>
      <c r="AD97" s="14" t="s">
        <v>431</v>
      </c>
      <c r="AE97" s="14" t="s">
        <v>431</v>
      </c>
      <c r="AF97" s="14" t="s">
        <v>431</v>
      </c>
      <c r="AG97" s="14" t="s">
        <v>431</v>
      </c>
      <c r="AH97" s="14" t="s">
        <v>431</v>
      </c>
      <c r="AI97" s="14" t="s">
        <v>431</v>
      </c>
      <c r="AJ97" s="14" t="s">
        <v>431</v>
      </c>
      <c r="AK97" s="14" t="s">
        <v>431</v>
      </c>
      <c r="AL97" s="14" t="s">
        <v>431</v>
      </c>
      <c r="AM97" s="14" t="s">
        <v>431</v>
      </c>
      <c r="AN97" s="14" t="s">
        <v>431</v>
      </c>
      <c r="AO97" s="14" t="s">
        <v>431</v>
      </c>
      <c r="AP97" s="14" t="s">
        <v>431</v>
      </c>
      <c r="AQ97" s="14" t="s">
        <v>431</v>
      </c>
      <c r="AR97" s="14" t="s">
        <v>431</v>
      </c>
      <c r="AS97" s="14" t="s">
        <v>431</v>
      </c>
      <c r="AT97" s="14" t="s">
        <v>431</v>
      </c>
      <c r="AU97" s="14" t="s">
        <v>431</v>
      </c>
    </row>
    <row r="98" spans="10:47" x14ac:dyDescent="0.2">
      <c r="J98" s="13" t="s">
        <v>364</v>
      </c>
      <c r="K98" s="14" t="s">
        <v>431</v>
      </c>
      <c r="L98" s="14" t="s">
        <v>431</v>
      </c>
      <c r="M98" s="14" t="s">
        <v>431</v>
      </c>
      <c r="N98" s="14" t="s">
        <v>431</v>
      </c>
      <c r="O98" s="14" t="s">
        <v>431</v>
      </c>
      <c r="P98" s="14" t="s">
        <v>431</v>
      </c>
      <c r="Q98" s="14" t="s">
        <v>431</v>
      </c>
      <c r="R98" s="14" t="s">
        <v>431</v>
      </c>
      <c r="S98" s="14" t="s">
        <v>431</v>
      </c>
      <c r="T98" s="14" t="s">
        <v>431</v>
      </c>
      <c r="U98" s="14" t="s">
        <v>431</v>
      </c>
      <c r="V98" s="14" t="s">
        <v>431</v>
      </c>
      <c r="W98" s="14" t="s">
        <v>431</v>
      </c>
      <c r="X98" s="14" t="s">
        <v>431</v>
      </c>
      <c r="Y98" s="14" t="s">
        <v>431</v>
      </c>
      <c r="Z98" s="14" t="s">
        <v>431</v>
      </c>
      <c r="AA98" s="14" t="s">
        <v>431</v>
      </c>
      <c r="AB98" s="14" t="s">
        <v>431</v>
      </c>
      <c r="AC98" s="14" t="s">
        <v>431</v>
      </c>
      <c r="AD98" s="14" t="s">
        <v>431</v>
      </c>
      <c r="AE98" s="14" t="s">
        <v>431</v>
      </c>
      <c r="AF98" s="14" t="s">
        <v>431</v>
      </c>
      <c r="AG98" s="14" t="s">
        <v>431</v>
      </c>
      <c r="AH98" s="14" t="s">
        <v>431</v>
      </c>
      <c r="AI98" s="14" t="s">
        <v>431</v>
      </c>
      <c r="AJ98" s="14" t="s">
        <v>431</v>
      </c>
      <c r="AK98" s="14" t="s">
        <v>431</v>
      </c>
      <c r="AL98" s="14" t="s">
        <v>431</v>
      </c>
      <c r="AM98" s="14" t="s">
        <v>431</v>
      </c>
      <c r="AN98" s="14" t="s">
        <v>431</v>
      </c>
      <c r="AO98" s="14" t="s">
        <v>431</v>
      </c>
      <c r="AP98" s="14" t="s">
        <v>431</v>
      </c>
      <c r="AQ98" s="14" t="s">
        <v>431</v>
      </c>
      <c r="AR98" s="14" t="s">
        <v>431</v>
      </c>
      <c r="AS98" s="14" t="s">
        <v>431</v>
      </c>
      <c r="AT98" s="14" t="s">
        <v>431</v>
      </c>
      <c r="AU98" s="14" t="s">
        <v>431</v>
      </c>
    </row>
    <row r="99" spans="10:47" x14ac:dyDescent="0.2">
      <c r="J99" s="13" t="s">
        <v>365</v>
      </c>
      <c r="K99" s="14" t="s">
        <v>431</v>
      </c>
      <c r="L99" s="14" t="s">
        <v>431</v>
      </c>
      <c r="M99" s="14" t="s">
        <v>431</v>
      </c>
      <c r="N99" s="14" t="s">
        <v>431</v>
      </c>
      <c r="O99" s="14" t="s">
        <v>431</v>
      </c>
      <c r="P99" s="14" t="s">
        <v>431</v>
      </c>
      <c r="Q99" s="14" t="s">
        <v>431</v>
      </c>
      <c r="R99" s="14" t="s">
        <v>431</v>
      </c>
      <c r="S99" s="14" t="s">
        <v>431</v>
      </c>
      <c r="T99" s="14" t="s">
        <v>431</v>
      </c>
      <c r="U99" s="14" t="s">
        <v>431</v>
      </c>
      <c r="V99" s="14" t="s">
        <v>431</v>
      </c>
      <c r="W99" s="14" t="s">
        <v>431</v>
      </c>
      <c r="X99" s="14" t="s">
        <v>431</v>
      </c>
      <c r="Y99" s="14" t="s">
        <v>431</v>
      </c>
      <c r="Z99" s="14" t="s">
        <v>431</v>
      </c>
      <c r="AA99" s="14" t="s">
        <v>431</v>
      </c>
      <c r="AB99" s="14" t="s">
        <v>431</v>
      </c>
      <c r="AC99" s="14" t="s">
        <v>431</v>
      </c>
      <c r="AD99" s="14" t="s">
        <v>431</v>
      </c>
      <c r="AE99" s="14" t="s">
        <v>431</v>
      </c>
      <c r="AF99" s="14" t="s">
        <v>431</v>
      </c>
      <c r="AG99" s="14" t="s">
        <v>431</v>
      </c>
      <c r="AH99" s="14" t="s">
        <v>431</v>
      </c>
      <c r="AI99" s="14" t="s">
        <v>431</v>
      </c>
      <c r="AJ99" s="14" t="s">
        <v>431</v>
      </c>
      <c r="AK99" s="14" t="s">
        <v>431</v>
      </c>
      <c r="AL99" s="14" t="s">
        <v>431</v>
      </c>
      <c r="AM99" s="14" t="s">
        <v>431</v>
      </c>
      <c r="AN99" s="14" t="s">
        <v>431</v>
      </c>
      <c r="AO99" s="14" t="s">
        <v>431</v>
      </c>
      <c r="AP99" s="14" t="s">
        <v>431</v>
      </c>
      <c r="AQ99" s="14" t="s">
        <v>431</v>
      </c>
      <c r="AR99" s="14" t="s">
        <v>431</v>
      </c>
      <c r="AS99" s="14" t="s">
        <v>431</v>
      </c>
      <c r="AT99" s="14" t="s">
        <v>431</v>
      </c>
      <c r="AU99" s="14" t="s">
        <v>431</v>
      </c>
    </row>
    <row r="100" spans="10:47" x14ac:dyDescent="0.2">
      <c r="J100" s="13" t="s">
        <v>366</v>
      </c>
      <c r="K100" s="14" t="s">
        <v>431</v>
      </c>
      <c r="L100" s="14" t="s">
        <v>431</v>
      </c>
      <c r="M100" s="14" t="s">
        <v>431</v>
      </c>
      <c r="N100" s="14" t="s">
        <v>431</v>
      </c>
      <c r="O100" s="14" t="s">
        <v>431</v>
      </c>
      <c r="P100" s="14" t="s">
        <v>431</v>
      </c>
      <c r="Q100" s="14" t="s">
        <v>431</v>
      </c>
      <c r="R100" s="14" t="s">
        <v>431</v>
      </c>
      <c r="S100" s="14" t="s">
        <v>431</v>
      </c>
      <c r="T100" s="14" t="s">
        <v>431</v>
      </c>
      <c r="U100" s="14" t="s">
        <v>431</v>
      </c>
      <c r="V100" s="14" t="s">
        <v>431</v>
      </c>
      <c r="W100" s="14" t="s">
        <v>431</v>
      </c>
      <c r="X100" s="14" t="s">
        <v>431</v>
      </c>
      <c r="Y100" s="14" t="s">
        <v>431</v>
      </c>
      <c r="Z100" s="14" t="s">
        <v>431</v>
      </c>
      <c r="AA100" s="14" t="s">
        <v>431</v>
      </c>
      <c r="AB100" s="14" t="s">
        <v>431</v>
      </c>
      <c r="AC100" s="14" t="s">
        <v>431</v>
      </c>
      <c r="AD100" s="14" t="s">
        <v>431</v>
      </c>
      <c r="AE100" s="14" t="s">
        <v>431</v>
      </c>
      <c r="AF100" s="14" t="s">
        <v>431</v>
      </c>
      <c r="AG100" s="14" t="s">
        <v>431</v>
      </c>
      <c r="AH100" s="14" t="s">
        <v>431</v>
      </c>
      <c r="AI100" s="14" t="s">
        <v>431</v>
      </c>
      <c r="AJ100" s="14" t="s">
        <v>431</v>
      </c>
      <c r="AK100" s="14" t="s">
        <v>431</v>
      </c>
      <c r="AL100" s="14" t="s">
        <v>431</v>
      </c>
      <c r="AM100" s="14" t="s">
        <v>431</v>
      </c>
      <c r="AN100" s="14" t="s">
        <v>431</v>
      </c>
      <c r="AO100" s="14" t="s">
        <v>431</v>
      </c>
      <c r="AP100" s="14" t="s">
        <v>431</v>
      </c>
      <c r="AQ100" s="14" t="s">
        <v>431</v>
      </c>
      <c r="AR100" s="14" t="s">
        <v>431</v>
      </c>
      <c r="AS100" s="14" t="s">
        <v>431</v>
      </c>
      <c r="AT100" s="14" t="s">
        <v>431</v>
      </c>
      <c r="AU100" s="14" t="s">
        <v>431</v>
      </c>
    </row>
    <row r="101" spans="10:47" x14ac:dyDescent="0.2">
      <c r="J101" s="13" t="s">
        <v>367</v>
      </c>
      <c r="K101" s="14" t="s">
        <v>431</v>
      </c>
      <c r="L101" s="14" t="s">
        <v>431</v>
      </c>
      <c r="M101" s="14" t="s">
        <v>431</v>
      </c>
      <c r="N101" s="14" t="s">
        <v>431</v>
      </c>
      <c r="O101" s="14" t="s">
        <v>431</v>
      </c>
      <c r="P101" s="14" t="s">
        <v>431</v>
      </c>
      <c r="Q101" s="14" t="s">
        <v>431</v>
      </c>
      <c r="R101" s="14" t="s">
        <v>431</v>
      </c>
      <c r="S101" s="14" t="s">
        <v>431</v>
      </c>
      <c r="T101" s="14" t="s">
        <v>431</v>
      </c>
      <c r="U101" s="14" t="s">
        <v>431</v>
      </c>
      <c r="V101" s="14" t="s">
        <v>431</v>
      </c>
      <c r="W101" s="14" t="s">
        <v>431</v>
      </c>
      <c r="X101" s="14" t="s">
        <v>431</v>
      </c>
      <c r="Y101" s="14" t="s">
        <v>431</v>
      </c>
      <c r="Z101" s="14" t="s">
        <v>431</v>
      </c>
      <c r="AA101" s="14" t="s">
        <v>431</v>
      </c>
      <c r="AB101" s="14" t="s">
        <v>431</v>
      </c>
      <c r="AC101" s="14" t="s">
        <v>431</v>
      </c>
      <c r="AD101" s="14" t="s">
        <v>431</v>
      </c>
      <c r="AE101" s="14" t="s">
        <v>431</v>
      </c>
      <c r="AF101" s="14" t="s">
        <v>431</v>
      </c>
      <c r="AG101" s="14" t="s">
        <v>431</v>
      </c>
      <c r="AH101" s="14" t="s">
        <v>431</v>
      </c>
      <c r="AI101" s="14" t="s">
        <v>431</v>
      </c>
      <c r="AJ101" s="14" t="s">
        <v>431</v>
      </c>
      <c r="AK101" s="14" t="s">
        <v>431</v>
      </c>
      <c r="AL101" s="14" t="s">
        <v>431</v>
      </c>
      <c r="AM101" s="14" t="s">
        <v>431</v>
      </c>
      <c r="AN101" s="14" t="s">
        <v>431</v>
      </c>
      <c r="AO101" s="14" t="s">
        <v>431</v>
      </c>
      <c r="AP101" s="14" t="s">
        <v>431</v>
      </c>
      <c r="AQ101" s="14" t="s">
        <v>431</v>
      </c>
      <c r="AR101" s="14" t="s">
        <v>431</v>
      </c>
      <c r="AS101" s="14" t="s">
        <v>431</v>
      </c>
      <c r="AT101" s="14" t="s">
        <v>431</v>
      </c>
      <c r="AU101" s="14" t="s">
        <v>431</v>
      </c>
    </row>
    <row r="102" spans="10:47" x14ac:dyDescent="0.2">
      <c r="J102" s="13" t="s">
        <v>368</v>
      </c>
      <c r="K102" s="14" t="s">
        <v>431</v>
      </c>
      <c r="L102" s="16" t="s">
        <v>431</v>
      </c>
      <c r="M102" s="14" t="s">
        <v>431</v>
      </c>
      <c r="N102" s="14" t="s">
        <v>431</v>
      </c>
      <c r="O102" s="14" t="s">
        <v>431</v>
      </c>
      <c r="P102" s="14" t="s">
        <v>431</v>
      </c>
      <c r="Q102" s="16" t="s">
        <v>431</v>
      </c>
      <c r="R102" s="14" t="s">
        <v>431</v>
      </c>
      <c r="S102" s="14" t="s">
        <v>431</v>
      </c>
      <c r="T102" s="14" t="s">
        <v>431</v>
      </c>
      <c r="U102" s="14" t="s">
        <v>431</v>
      </c>
      <c r="V102" s="16" t="s">
        <v>431</v>
      </c>
      <c r="W102" s="14" t="s">
        <v>431</v>
      </c>
      <c r="X102" s="14" t="s">
        <v>431</v>
      </c>
      <c r="Y102" s="14" t="s">
        <v>431</v>
      </c>
      <c r="Z102" s="14" t="s">
        <v>431</v>
      </c>
      <c r="AA102" s="14" t="s">
        <v>431</v>
      </c>
      <c r="AB102" s="14" t="s">
        <v>431</v>
      </c>
      <c r="AC102" s="14" t="s">
        <v>431</v>
      </c>
      <c r="AD102" s="14" t="s">
        <v>431</v>
      </c>
      <c r="AE102" s="14" t="s">
        <v>431</v>
      </c>
      <c r="AF102" s="14" t="s">
        <v>431</v>
      </c>
      <c r="AG102" s="14" t="s">
        <v>431</v>
      </c>
      <c r="AH102" s="14" t="s">
        <v>431</v>
      </c>
      <c r="AI102" s="14" t="s">
        <v>431</v>
      </c>
      <c r="AJ102" s="14" t="s">
        <v>431</v>
      </c>
      <c r="AK102" s="14" t="s">
        <v>431</v>
      </c>
      <c r="AL102" s="14" t="s">
        <v>431</v>
      </c>
      <c r="AM102" s="14" t="s">
        <v>431</v>
      </c>
      <c r="AN102" s="14" t="s">
        <v>431</v>
      </c>
      <c r="AO102" s="14" t="s">
        <v>431</v>
      </c>
      <c r="AP102" s="14" t="s">
        <v>431</v>
      </c>
      <c r="AQ102" s="14" t="s">
        <v>431</v>
      </c>
      <c r="AR102" s="14" t="s">
        <v>431</v>
      </c>
      <c r="AS102" s="14" t="s">
        <v>431</v>
      </c>
      <c r="AT102" s="14" t="s">
        <v>431</v>
      </c>
      <c r="AU102" s="14" t="s">
        <v>431</v>
      </c>
    </row>
    <row r="103" spans="10:47" x14ac:dyDescent="0.2">
      <c r="J103" s="13" t="s">
        <v>369</v>
      </c>
      <c r="K103" s="14" t="s">
        <v>431</v>
      </c>
      <c r="L103" s="14" t="s">
        <v>431</v>
      </c>
      <c r="M103" s="14" t="s">
        <v>431</v>
      </c>
      <c r="N103" s="14" t="s">
        <v>431</v>
      </c>
      <c r="O103" s="14" t="s">
        <v>431</v>
      </c>
      <c r="P103" s="14" t="s">
        <v>431</v>
      </c>
      <c r="Q103" s="14" t="s">
        <v>431</v>
      </c>
      <c r="R103" s="14" t="s">
        <v>431</v>
      </c>
      <c r="S103" s="14" t="s">
        <v>431</v>
      </c>
      <c r="T103" s="14" t="s">
        <v>431</v>
      </c>
      <c r="U103" s="14" t="s">
        <v>431</v>
      </c>
      <c r="V103" s="16" t="s">
        <v>431</v>
      </c>
      <c r="W103" s="14" t="s">
        <v>431</v>
      </c>
      <c r="X103" s="14" t="s">
        <v>431</v>
      </c>
      <c r="Y103" s="14" t="s">
        <v>431</v>
      </c>
      <c r="Z103" s="14" t="s">
        <v>431</v>
      </c>
      <c r="AA103" s="14" t="s">
        <v>431</v>
      </c>
      <c r="AB103" s="14" t="s">
        <v>431</v>
      </c>
      <c r="AC103" s="14" t="s">
        <v>431</v>
      </c>
      <c r="AD103" s="14" t="s">
        <v>431</v>
      </c>
      <c r="AE103" s="14" t="s">
        <v>431</v>
      </c>
      <c r="AF103" s="14" t="s">
        <v>431</v>
      </c>
      <c r="AG103" s="14" t="s">
        <v>431</v>
      </c>
      <c r="AH103" s="14" t="s">
        <v>431</v>
      </c>
      <c r="AI103" s="14" t="s">
        <v>431</v>
      </c>
      <c r="AJ103" s="14" t="s">
        <v>431</v>
      </c>
      <c r="AK103" s="14" t="s">
        <v>431</v>
      </c>
      <c r="AL103" s="14" t="s">
        <v>431</v>
      </c>
      <c r="AM103" s="14" t="s">
        <v>431</v>
      </c>
      <c r="AN103" s="14" t="s">
        <v>431</v>
      </c>
      <c r="AO103" s="14" t="s">
        <v>431</v>
      </c>
      <c r="AP103" s="14" t="s">
        <v>431</v>
      </c>
      <c r="AQ103" s="14" t="s">
        <v>431</v>
      </c>
      <c r="AR103" s="14" t="s">
        <v>431</v>
      </c>
      <c r="AS103" s="14" t="s">
        <v>431</v>
      </c>
      <c r="AT103" s="14" t="s">
        <v>431</v>
      </c>
      <c r="AU103" s="14" t="s">
        <v>431</v>
      </c>
    </row>
    <row r="104" spans="10:47" x14ac:dyDescent="0.2">
      <c r="J104" s="13" t="s">
        <v>370</v>
      </c>
      <c r="K104" s="14" t="s">
        <v>431</v>
      </c>
      <c r="L104" s="16" t="s">
        <v>431</v>
      </c>
      <c r="M104" s="14" t="s">
        <v>431</v>
      </c>
      <c r="N104" s="14" t="s">
        <v>431</v>
      </c>
      <c r="O104" s="14" t="s">
        <v>431</v>
      </c>
      <c r="P104" s="14" t="s">
        <v>431</v>
      </c>
      <c r="Q104" s="16" t="s">
        <v>431</v>
      </c>
      <c r="R104" s="14" t="s">
        <v>431</v>
      </c>
      <c r="S104" s="14" t="s">
        <v>431</v>
      </c>
      <c r="T104" s="14" t="s">
        <v>431</v>
      </c>
      <c r="U104" s="14" t="s">
        <v>431</v>
      </c>
      <c r="V104" s="14" t="s">
        <v>431</v>
      </c>
      <c r="W104" s="14" t="s">
        <v>431</v>
      </c>
      <c r="X104" s="14" t="s">
        <v>431</v>
      </c>
      <c r="Y104" s="14" t="s">
        <v>431</v>
      </c>
      <c r="Z104" s="14" t="s">
        <v>431</v>
      </c>
      <c r="AA104" s="14" t="s">
        <v>431</v>
      </c>
      <c r="AB104" s="14" t="s">
        <v>431</v>
      </c>
      <c r="AC104" s="14" t="s">
        <v>431</v>
      </c>
      <c r="AD104" s="14" t="s">
        <v>431</v>
      </c>
      <c r="AE104" s="14" t="s">
        <v>431</v>
      </c>
      <c r="AF104" s="14" t="s">
        <v>431</v>
      </c>
      <c r="AG104" s="14" t="s">
        <v>431</v>
      </c>
      <c r="AH104" s="14" t="s">
        <v>431</v>
      </c>
      <c r="AI104" s="14" t="s">
        <v>431</v>
      </c>
      <c r="AJ104" s="14" t="s">
        <v>431</v>
      </c>
      <c r="AK104" s="14" t="s">
        <v>431</v>
      </c>
      <c r="AL104" s="14" t="s">
        <v>431</v>
      </c>
      <c r="AM104" s="14" t="s">
        <v>431</v>
      </c>
      <c r="AN104" s="14" t="s">
        <v>431</v>
      </c>
      <c r="AO104" s="14" t="s">
        <v>431</v>
      </c>
      <c r="AP104" s="14" t="s">
        <v>431</v>
      </c>
      <c r="AQ104" s="14" t="s">
        <v>431</v>
      </c>
      <c r="AR104" s="14" t="s">
        <v>431</v>
      </c>
      <c r="AS104" s="14" t="s">
        <v>431</v>
      </c>
      <c r="AT104" s="14" t="s">
        <v>431</v>
      </c>
      <c r="AU104" s="14" t="s">
        <v>431</v>
      </c>
    </row>
    <row r="105" spans="10:47" x14ac:dyDescent="0.2">
      <c r="J105" s="13" t="s">
        <v>371</v>
      </c>
      <c r="K105" s="14" t="s">
        <v>431</v>
      </c>
      <c r="L105" s="16" t="s">
        <v>431</v>
      </c>
      <c r="M105" s="14" t="s">
        <v>431</v>
      </c>
      <c r="N105" s="14" t="s">
        <v>431</v>
      </c>
      <c r="O105" s="14" t="s">
        <v>431</v>
      </c>
      <c r="P105" s="14" t="s">
        <v>431</v>
      </c>
      <c r="Q105" s="16" t="s">
        <v>431</v>
      </c>
      <c r="R105" s="14" t="s">
        <v>431</v>
      </c>
      <c r="S105" s="14" t="s">
        <v>431</v>
      </c>
      <c r="T105" s="14" t="s">
        <v>431</v>
      </c>
      <c r="U105" s="14" t="s">
        <v>431</v>
      </c>
      <c r="V105" s="14" t="s">
        <v>431</v>
      </c>
      <c r="W105" s="14" t="s">
        <v>431</v>
      </c>
      <c r="X105" s="14" t="s">
        <v>431</v>
      </c>
      <c r="Y105" s="14" t="s">
        <v>431</v>
      </c>
      <c r="Z105" s="14" t="s">
        <v>431</v>
      </c>
      <c r="AA105" s="14" t="s">
        <v>431</v>
      </c>
      <c r="AB105" s="14" t="s">
        <v>431</v>
      </c>
      <c r="AC105" s="14" t="s">
        <v>431</v>
      </c>
      <c r="AD105" s="14" t="s">
        <v>431</v>
      </c>
      <c r="AE105" s="14" t="s">
        <v>431</v>
      </c>
      <c r="AF105" s="14" t="s">
        <v>431</v>
      </c>
      <c r="AG105" s="14" t="s">
        <v>431</v>
      </c>
      <c r="AH105" s="14" t="s">
        <v>431</v>
      </c>
      <c r="AI105" s="14" t="s">
        <v>431</v>
      </c>
      <c r="AJ105" s="14" t="s">
        <v>431</v>
      </c>
      <c r="AK105" s="14" t="s">
        <v>431</v>
      </c>
      <c r="AL105" s="14" t="s">
        <v>431</v>
      </c>
      <c r="AM105" s="14" t="s">
        <v>431</v>
      </c>
      <c r="AN105" s="14" t="s">
        <v>431</v>
      </c>
      <c r="AO105" s="14" t="s">
        <v>431</v>
      </c>
      <c r="AP105" s="14" t="s">
        <v>431</v>
      </c>
      <c r="AQ105" s="14" t="s">
        <v>431</v>
      </c>
      <c r="AR105" s="14" t="s">
        <v>431</v>
      </c>
      <c r="AS105" s="14" t="s">
        <v>431</v>
      </c>
      <c r="AT105" s="14" t="s">
        <v>431</v>
      </c>
      <c r="AU105" s="14" t="s">
        <v>431</v>
      </c>
    </row>
    <row r="106" spans="10:47" x14ac:dyDescent="0.2">
      <c r="J106" s="13" t="s">
        <v>55</v>
      </c>
      <c r="K106" s="14"/>
      <c r="L106" s="14"/>
      <c r="M106" s="14"/>
      <c r="N106" s="14"/>
      <c r="O106" s="14"/>
      <c r="P106" s="14"/>
      <c r="Q106" s="14"/>
      <c r="R106" s="14"/>
      <c r="S106" s="14"/>
      <c r="T106" s="14"/>
      <c r="U106" s="14"/>
      <c r="V106" s="14"/>
      <c r="W106" s="14"/>
      <c r="X106" s="14"/>
      <c r="Y106" s="14"/>
      <c r="Z106" s="14"/>
      <c r="AA106" s="14"/>
      <c r="AB106" s="14"/>
      <c r="AC106" s="14"/>
      <c r="AD106" s="14"/>
      <c r="AE106" s="14"/>
      <c r="AF106" s="14"/>
      <c r="AG106" s="14"/>
      <c r="AH106" s="14"/>
      <c r="AI106" s="14"/>
      <c r="AJ106" s="14"/>
      <c r="AK106" s="14"/>
      <c r="AL106" s="14"/>
      <c r="AM106" s="14"/>
      <c r="AN106" s="14"/>
      <c r="AO106" s="14"/>
      <c r="AP106" s="14"/>
      <c r="AQ106" s="14"/>
      <c r="AR106" s="14"/>
      <c r="AS106" s="14"/>
      <c r="AT106" s="14"/>
      <c r="AU106" s="14"/>
    </row>
    <row r="107" spans="10:47" x14ac:dyDescent="0.2">
      <c r="J107" s="13" t="s">
        <v>51</v>
      </c>
      <c r="K107" s="14"/>
      <c r="L107" s="14"/>
      <c r="M107" s="14"/>
      <c r="N107" s="14"/>
      <c r="O107" s="14"/>
      <c r="P107" s="14"/>
      <c r="Q107" s="14"/>
      <c r="R107" s="14"/>
      <c r="S107" s="14"/>
      <c r="T107" s="14"/>
      <c r="U107" s="14"/>
      <c r="V107" s="14"/>
      <c r="W107" s="14"/>
      <c r="X107" s="14"/>
      <c r="Y107" s="14"/>
      <c r="Z107" s="14"/>
      <c r="AA107" s="14"/>
      <c r="AB107" s="14"/>
      <c r="AC107" s="14"/>
      <c r="AD107" s="14"/>
      <c r="AE107" s="14"/>
      <c r="AF107" s="14"/>
      <c r="AG107" s="14"/>
      <c r="AH107" s="14"/>
      <c r="AI107" s="14"/>
      <c r="AJ107" s="14"/>
      <c r="AK107" s="14"/>
      <c r="AL107" s="14"/>
      <c r="AM107" s="14"/>
      <c r="AN107" s="14"/>
      <c r="AO107" s="14"/>
      <c r="AP107" s="14"/>
      <c r="AQ107" s="14"/>
      <c r="AR107" s="14"/>
      <c r="AS107" s="14"/>
      <c r="AT107" s="14"/>
      <c r="AU107" s="14"/>
    </row>
    <row r="108" spans="10:47" x14ac:dyDescent="0.2">
      <c r="J108" s="13" t="s">
        <v>52</v>
      </c>
      <c r="K108" s="14"/>
      <c r="L108" s="14"/>
      <c r="M108" s="14"/>
      <c r="N108" s="14"/>
      <c r="O108" s="14"/>
      <c r="P108" s="14"/>
      <c r="Q108" s="14"/>
      <c r="R108" s="14"/>
      <c r="S108" s="14"/>
      <c r="T108" s="14"/>
      <c r="U108" s="14"/>
      <c r="V108" s="14"/>
      <c r="W108" s="14"/>
      <c r="X108" s="14"/>
      <c r="Y108" s="14"/>
      <c r="Z108" s="14"/>
      <c r="AA108" s="14"/>
      <c r="AB108" s="14"/>
      <c r="AC108" s="14"/>
      <c r="AD108" s="14"/>
      <c r="AE108" s="14"/>
      <c r="AF108" s="14"/>
      <c r="AG108" s="14"/>
      <c r="AH108" s="14"/>
      <c r="AI108" s="14"/>
      <c r="AJ108" s="14"/>
      <c r="AK108" s="14"/>
      <c r="AL108" s="14"/>
      <c r="AM108" s="14"/>
      <c r="AN108" s="14"/>
      <c r="AO108" s="14"/>
      <c r="AP108" s="14"/>
      <c r="AQ108" s="14"/>
      <c r="AR108" s="14"/>
      <c r="AS108" s="14"/>
      <c r="AT108" s="14"/>
      <c r="AU108" s="14"/>
    </row>
    <row r="109" spans="10:47" x14ac:dyDescent="0.2">
      <c r="J109" s="13" t="s">
        <v>372</v>
      </c>
      <c r="K109" s="14" t="s">
        <v>17</v>
      </c>
      <c r="L109" s="14" t="s">
        <v>17</v>
      </c>
      <c r="M109" s="14" t="s">
        <v>17</v>
      </c>
      <c r="N109" s="14" t="s">
        <v>17</v>
      </c>
      <c r="O109" s="14" t="s">
        <v>17</v>
      </c>
      <c r="P109" s="14" t="s">
        <v>17</v>
      </c>
      <c r="Q109" s="14" t="s">
        <v>17</v>
      </c>
      <c r="R109" s="14" t="s">
        <v>17</v>
      </c>
      <c r="S109" s="14" t="s">
        <v>17</v>
      </c>
      <c r="T109" s="14" t="s">
        <v>17</v>
      </c>
      <c r="U109" s="14" t="s">
        <v>17</v>
      </c>
      <c r="V109" s="14" t="s">
        <v>17</v>
      </c>
      <c r="W109" s="14" t="s">
        <v>17</v>
      </c>
      <c r="X109" s="14" t="s">
        <v>17</v>
      </c>
      <c r="Y109" s="14" t="s">
        <v>17</v>
      </c>
      <c r="Z109" s="14" t="s">
        <v>17</v>
      </c>
      <c r="AA109" s="14" t="s">
        <v>17</v>
      </c>
      <c r="AB109" s="14" t="s">
        <v>17</v>
      </c>
      <c r="AC109" s="14" t="s">
        <v>17</v>
      </c>
      <c r="AD109" s="14" t="s">
        <v>17</v>
      </c>
      <c r="AE109" s="14" t="s">
        <v>17</v>
      </c>
      <c r="AF109" s="14" t="s">
        <v>17</v>
      </c>
      <c r="AG109" s="14" t="s">
        <v>17</v>
      </c>
      <c r="AH109" s="14" t="s">
        <v>17</v>
      </c>
      <c r="AI109" s="14" t="s">
        <v>17</v>
      </c>
      <c r="AJ109" s="14" t="s">
        <v>17</v>
      </c>
      <c r="AK109" s="14" t="s">
        <v>17</v>
      </c>
      <c r="AL109" s="14" t="s">
        <v>17</v>
      </c>
      <c r="AM109" s="14" t="s">
        <v>17</v>
      </c>
      <c r="AN109" s="14" t="s">
        <v>17</v>
      </c>
      <c r="AO109" s="14" t="s">
        <v>17</v>
      </c>
      <c r="AP109" s="14" t="s">
        <v>17</v>
      </c>
      <c r="AQ109" s="14" t="s">
        <v>17</v>
      </c>
      <c r="AR109" s="14" t="s">
        <v>17</v>
      </c>
      <c r="AS109" s="14" t="s">
        <v>17</v>
      </c>
      <c r="AT109" s="14" t="s">
        <v>17</v>
      </c>
      <c r="AU109" s="14" t="s">
        <v>17</v>
      </c>
    </row>
    <row r="110" spans="10:47" x14ac:dyDescent="0.2">
      <c r="J110" s="13" t="s">
        <v>373</v>
      </c>
      <c r="K110" s="14" t="s">
        <v>18</v>
      </c>
      <c r="L110" s="14" t="s">
        <v>18</v>
      </c>
      <c r="M110" s="14" t="s">
        <v>18</v>
      </c>
      <c r="N110" s="14" t="s">
        <v>18</v>
      </c>
      <c r="O110" s="14" t="s">
        <v>18</v>
      </c>
      <c r="P110" s="14" t="s">
        <v>18</v>
      </c>
      <c r="Q110" s="14" t="s">
        <v>18</v>
      </c>
      <c r="R110" s="14" t="s">
        <v>18</v>
      </c>
      <c r="S110" s="14" t="s">
        <v>18</v>
      </c>
      <c r="T110" s="14" t="s">
        <v>18</v>
      </c>
      <c r="U110" s="14" t="s">
        <v>18</v>
      </c>
      <c r="V110" s="14" t="s">
        <v>18</v>
      </c>
      <c r="W110" s="14" t="s">
        <v>18</v>
      </c>
      <c r="X110" s="14" t="s">
        <v>18</v>
      </c>
      <c r="Y110" s="14" t="s">
        <v>18</v>
      </c>
      <c r="Z110" s="14" t="s">
        <v>18</v>
      </c>
      <c r="AA110" s="14" t="s">
        <v>18</v>
      </c>
      <c r="AB110" s="14" t="s">
        <v>18</v>
      </c>
      <c r="AC110" s="14" t="s">
        <v>18</v>
      </c>
      <c r="AD110" s="14" t="s">
        <v>18</v>
      </c>
      <c r="AE110" s="14" t="s">
        <v>18</v>
      </c>
      <c r="AF110" s="14" t="s">
        <v>18</v>
      </c>
      <c r="AG110" s="14" t="s">
        <v>18</v>
      </c>
      <c r="AH110" s="14" t="s">
        <v>18</v>
      </c>
      <c r="AI110" s="14" t="s">
        <v>18</v>
      </c>
      <c r="AJ110" s="14" t="s">
        <v>18</v>
      </c>
      <c r="AK110" s="14" t="s">
        <v>18</v>
      </c>
      <c r="AL110" s="14" t="s">
        <v>18</v>
      </c>
      <c r="AM110" s="14" t="s">
        <v>18</v>
      </c>
      <c r="AN110" s="14" t="s">
        <v>18</v>
      </c>
      <c r="AO110" s="14" t="s">
        <v>18</v>
      </c>
      <c r="AP110" s="14" t="s">
        <v>18</v>
      </c>
      <c r="AQ110" s="14" t="s">
        <v>18</v>
      </c>
      <c r="AR110" s="14" t="s">
        <v>18</v>
      </c>
      <c r="AS110" s="14" t="s">
        <v>18</v>
      </c>
      <c r="AT110" s="14" t="s">
        <v>18</v>
      </c>
      <c r="AU110" s="14" t="s">
        <v>18</v>
      </c>
    </row>
    <row r="111" spans="10:47" x14ac:dyDescent="0.2">
      <c r="J111" s="13" t="s">
        <v>374</v>
      </c>
      <c r="K111" s="14"/>
      <c r="L111" s="14"/>
      <c r="M111" s="14"/>
      <c r="N111" s="14"/>
      <c r="O111" s="14"/>
      <c r="P111" s="14"/>
      <c r="Q111" s="14"/>
      <c r="R111" s="14"/>
      <c r="S111" s="14"/>
      <c r="T111" s="14"/>
      <c r="U111" s="14"/>
      <c r="V111" s="14"/>
      <c r="W111" s="14"/>
      <c r="X111" s="14"/>
      <c r="Y111" s="14"/>
      <c r="Z111" s="14"/>
      <c r="AA111" s="14"/>
      <c r="AB111" s="14"/>
      <c r="AC111" s="14"/>
      <c r="AD111" s="14"/>
      <c r="AE111" s="14"/>
      <c r="AF111" s="14"/>
      <c r="AG111" s="14"/>
      <c r="AH111" s="14"/>
      <c r="AI111" s="14"/>
      <c r="AJ111" s="14"/>
      <c r="AK111" s="14"/>
      <c r="AL111" s="14"/>
      <c r="AM111" s="14"/>
      <c r="AN111" s="14"/>
      <c r="AO111" s="14"/>
      <c r="AP111" s="14"/>
      <c r="AQ111" s="14"/>
      <c r="AR111" s="14"/>
      <c r="AS111" s="14"/>
      <c r="AT111" s="14"/>
      <c r="AU111" s="14"/>
    </row>
    <row r="112" spans="10:47" x14ac:dyDescent="0.2">
      <c r="J112" s="13" t="s">
        <v>375</v>
      </c>
      <c r="K112" s="14"/>
      <c r="L112" s="14"/>
      <c r="M112" s="14"/>
      <c r="N112" s="14"/>
      <c r="O112" s="14"/>
      <c r="P112" s="14"/>
      <c r="Q112" s="14"/>
      <c r="R112" s="14"/>
      <c r="S112" s="14"/>
      <c r="T112" s="14"/>
      <c r="U112" s="14"/>
      <c r="V112" s="14"/>
      <c r="W112" s="14"/>
      <c r="X112" s="14"/>
      <c r="Y112" s="14"/>
      <c r="Z112" s="14"/>
      <c r="AA112" s="14"/>
      <c r="AB112" s="14"/>
      <c r="AC112" s="14"/>
      <c r="AD112" s="14"/>
      <c r="AE112" s="14"/>
      <c r="AF112" s="14"/>
      <c r="AG112" s="14"/>
      <c r="AH112" s="14"/>
      <c r="AI112" s="14"/>
      <c r="AJ112" s="14"/>
      <c r="AK112" s="14"/>
      <c r="AL112" s="14"/>
      <c r="AM112" s="14"/>
      <c r="AN112" s="14"/>
      <c r="AO112" s="14"/>
      <c r="AP112" s="14"/>
      <c r="AQ112" s="14"/>
      <c r="AR112" s="14"/>
      <c r="AS112" s="14"/>
      <c r="AT112" s="14"/>
      <c r="AU112" s="14"/>
    </row>
    <row r="113" spans="10:47" x14ac:dyDescent="0.2">
      <c r="J113" s="13" t="s">
        <v>376</v>
      </c>
      <c r="K113" s="14"/>
      <c r="L113" s="14"/>
      <c r="M113" s="14"/>
      <c r="N113" s="14"/>
      <c r="O113" s="14"/>
      <c r="P113" s="14"/>
      <c r="Q113" s="14"/>
      <c r="R113" s="14"/>
      <c r="S113" s="14"/>
      <c r="T113" s="14"/>
      <c r="U113" s="14"/>
      <c r="V113" s="14"/>
      <c r="W113" s="14"/>
      <c r="X113" s="14"/>
      <c r="Y113" s="14"/>
      <c r="Z113" s="14"/>
      <c r="AA113" s="14"/>
      <c r="AB113" s="14"/>
      <c r="AC113" s="14"/>
      <c r="AD113" s="14"/>
      <c r="AE113" s="14"/>
      <c r="AF113" s="14"/>
      <c r="AG113" s="14"/>
      <c r="AH113" s="14"/>
      <c r="AI113" s="14"/>
      <c r="AJ113" s="14"/>
      <c r="AK113" s="14"/>
      <c r="AL113" s="14"/>
      <c r="AM113" s="14"/>
      <c r="AN113" s="14"/>
      <c r="AO113" s="14"/>
      <c r="AP113" s="14"/>
      <c r="AQ113" s="14"/>
      <c r="AR113" s="14"/>
      <c r="AS113" s="14"/>
      <c r="AT113" s="14"/>
      <c r="AU113" s="14"/>
    </row>
    <row r="114" spans="10:47" x14ac:dyDescent="0.2">
      <c r="J114" s="13" t="s">
        <v>377</v>
      </c>
      <c r="K114" s="14"/>
      <c r="L114" s="14"/>
      <c r="M114" s="14"/>
      <c r="N114" s="14"/>
      <c r="O114" s="14"/>
      <c r="P114" s="14"/>
      <c r="Q114" s="14"/>
      <c r="R114" s="14"/>
      <c r="S114" s="14"/>
      <c r="T114" s="14"/>
      <c r="U114" s="14"/>
      <c r="V114" s="14"/>
      <c r="W114" s="14"/>
      <c r="X114" s="14"/>
      <c r="Y114" s="14"/>
      <c r="Z114" s="14"/>
      <c r="AA114" s="14"/>
      <c r="AB114" s="14"/>
      <c r="AC114" s="14"/>
      <c r="AD114" s="14"/>
      <c r="AE114" s="14"/>
      <c r="AF114" s="14"/>
      <c r="AG114" s="14"/>
      <c r="AH114" s="14"/>
      <c r="AI114" s="14"/>
      <c r="AJ114" s="14"/>
      <c r="AK114" s="14"/>
      <c r="AL114" s="14"/>
      <c r="AM114" s="14"/>
      <c r="AN114" s="14"/>
      <c r="AO114" s="14"/>
      <c r="AP114" s="14"/>
      <c r="AQ114" s="14"/>
      <c r="AR114" s="14"/>
      <c r="AS114" s="14"/>
      <c r="AT114" s="14"/>
      <c r="AU114" s="14"/>
    </row>
    <row r="115" spans="10:47" x14ac:dyDescent="0.2">
      <c r="J115" s="13" t="s">
        <v>378</v>
      </c>
      <c r="K115" s="14"/>
      <c r="L115" s="14"/>
      <c r="M115" s="14"/>
      <c r="N115" s="14"/>
      <c r="O115" s="14"/>
      <c r="P115" s="14"/>
      <c r="Q115" s="14"/>
      <c r="R115" s="14"/>
      <c r="S115" s="14"/>
      <c r="T115" s="14"/>
      <c r="U115" s="14"/>
      <c r="V115" s="14"/>
      <c r="W115" s="14"/>
      <c r="X115" s="14"/>
      <c r="Y115" s="14"/>
      <c r="Z115" s="14"/>
      <c r="AA115" s="14"/>
      <c r="AB115" s="14"/>
      <c r="AC115" s="14"/>
      <c r="AD115" s="14"/>
      <c r="AE115" s="14"/>
      <c r="AF115" s="14"/>
      <c r="AG115" s="14"/>
      <c r="AH115" s="14"/>
      <c r="AI115" s="14"/>
      <c r="AJ115" s="14"/>
      <c r="AK115" s="14"/>
      <c r="AL115" s="14"/>
      <c r="AM115" s="14"/>
      <c r="AN115" s="14"/>
      <c r="AO115" s="14"/>
      <c r="AP115" s="14"/>
      <c r="AQ115" s="14"/>
      <c r="AR115" s="14"/>
      <c r="AS115" s="14"/>
      <c r="AT115" s="14"/>
      <c r="AU115" s="14"/>
    </row>
    <row r="116" spans="10:47" x14ac:dyDescent="0.2">
      <c r="J116" s="13" t="s">
        <v>379</v>
      </c>
      <c r="K116" s="14"/>
      <c r="L116" s="14"/>
      <c r="M116" s="14"/>
      <c r="N116" s="14"/>
      <c r="O116" s="14"/>
      <c r="P116" s="14"/>
      <c r="Q116" s="14"/>
      <c r="R116" s="14"/>
      <c r="S116" s="14"/>
      <c r="T116" s="14"/>
      <c r="U116" s="14"/>
      <c r="V116" s="14"/>
      <c r="W116" s="14"/>
      <c r="X116" s="14"/>
      <c r="Y116" s="14"/>
      <c r="Z116" s="14"/>
      <c r="AA116" s="14"/>
      <c r="AB116" s="14"/>
      <c r="AC116" s="14"/>
      <c r="AD116" s="14"/>
      <c r="AE116" s="14"/>
      <c r="AF116" s="14"/>
      <c r="AG116" s="14"/>
      <c r="AH116" s="14"/>
      <c r="AI116" s="14"/>
      <c r="AJ116" s="14"/>
      <c r="AK116" s="14"/>
      <c r="AL116" s="14"/>
      <c r="AM116" s="14"/>
      <c r="AN116" s="14"/>
      <c r="AO116" s="14"/>
      <c r="AP116" s="14"/>
      <c r="AQ116" s="14"/>
      <c r="AR116" s="14"/>
      <c r="AS116" s="14"/>
      <c r="AT116" s="14"/>
      <c r="AU116" s="14"/>
    </row>
    <row r="117" spans="10:47" x14ac:dyDescent="0.2">
      <c r="J117" s="13" t="s">
        <v>380</v>
      </c>
      <c r="K117" s="14"/>
      <c r="L117" s="14"/>
      <c r="M117" s="14"/>
      <c r="N117" s="14"/>
      <c r="O117" s="14"/>
      <c r="P117" s="14"/>
      <c r="Q117" s="14"/>
      <c r="R117" s="14"/>
      <c r="S117" s="14"/>
      <c r="T117" s="14"/>
      <c r="U117" s="14"/>
      <c r="V117" s="14"/>
      <c r="W117" s="14"/>
      <c r="X117" s="14"/>
      <c r="Y117" s="14"/>
      <c r="Z117" s="14"/>
      <c r="AA117" s="14"/>
      <c r="AB117" s="14"/>
      <c r="AC117" s="14"/>
      <c r="AD117" s="14"/>
      <c r="AE117" s="14"/>
      <c r="AF117" s="14"/>
      <c r="AG117" s="14"/>
      <c r="AH117" s="14"/>
      <c r="AI117" s="14"/>
      <c r="AJ117" s="14"/>
      <c r="AK117" s="14"/>
      <c r="AL117" s="14"/>
      <c r="AM117" s="14"/>
      <c r="AN117" s="14"/>
      <c r="AO117" s="14"/>
      <c r="AP117" s="14"/>
      <c r="AQ117" s="14"/>
      <c r="AR117" s="14"/>
      <c r="AS117" s="14"/>
      <c r="AT117" s="14"/>
      <c r="AU117" s="14"/>
    </row>
    <row r="118" spans="10:47" x14ac:dyDescent="0.2">
      <c r="J118" s="13" t="s">
        <v>381</v>
      </c>
      <c r="K118" s="14"/>
      <c r="L118" s="14"/>
      <c r="M118" s="14"/>
      <c r="N118" s="14"/>
      <c r="O118" s="14"/>
      <c r="P118" s="14"/>
      <c r="Q118" s="14"/>
      <c r="R118" s="14"/>
      <c r="S118" s="14"/>
      <c r="T118" s="14"/>
      <c r="U118" s="14"/>
      <c r="V118" s="14"/>
      <c r="W118" s="14"/>
      <c r="X118" s="14"/>
      <c r="Y118" s="14"/>
      <c r="Z118" s="14"/>
      <c r="AA118" s="14"/>
      <c r="AB118" s="14"/>
      <c r="AC118" s="14"/>
      <c r="AD118" s="14"/>
      <c r="AE118" s="14"/>
      <c r="AF118" s="14"/>
      <c r="AG118" s="14"/>
      <c r="AH118" s="14"/>
      <c r="AI118" s="14"/>
      <c r="AJ118" s="14"/>
      <c r="AK118" s="14"/>
      <c r="AL118" s="14"/>
      <c r="AM118" s="14"/>
      <c r="AN118" s="14"/>
      <c r="AO118" s="14"/>
      <c r="AP118" s="14"/>
      <c r="AQ118" s="14"/>
      <c r="AR118" s="14"/>
      <c r="AS118" s="14"/>
      <c r="AT118" s="14"/>
      <c r="AU118" s="14"/>
    </row>
    <row r="119" spans="10:47" x14ac:dyDescent="0.2">
      <c r="J119" s="13" t="s">
        <v>382</v>
      </c>
      <c r="K119" s="14"/>
      <c r="L119" s="14"/>
      <c r="M119" s="14"/>
      <c r="N119" s="14"/>
      <c r="O119" s="14"/>
      <c r="P119" s="14"/>
      <c r="Q119" s="14"/>
      <c r="R119" s="14"/>
      <c r="S119" s="14"/>
      <c r="T119" s="14"/>
      <c r="U119" s="14"/>
      <c r="V119" s="14"/>
      <c r="W119" s="14"/>
      <c r="X119" s="14"/>
      <c r="Y119" s="14"/>
      <c r="Z119" s="14"/>
      <c r="AA119" s="14"/>
      <c r="AB119" s="14"/>
      <c r="AC119" s="14"/>
      <c r="AD119" s="14"/>
      <c r="AE119" s="14"/>
      <c r="AF119" s="14"/>
      <c r="AG119" s="14"/>
      <c r="AH119" s="14"/>
      <c r="AI119" s="14"/>
      <c r="AJ119" s="14"/>
      <c r="AK119" s="14"/>
      <c r="AL119" s="14"/>
      <c r="AM119" s="14"/>
      <c r="AN119" s="14"/>
      <c r="AO119" s="14"/>
      <c r="AP119" s="14"/>
      <c r="AQ119" s="14"/>
      <c r="AR119" s="14"/>
      <c r="AS119" s="14"/>
      <c r="AT119" s="14"/>
      <c r="AU119" s="14"/>
    </row>
    <row r="120" spans="10:47" x14ac:dyDescent="0.2">
      <c r="J120" s="13" t="s">
        <v>383</v>
      </c>
      <c r="K120" s="14"/>
      <c r="L120" s="14"/>
      <c r="M120" s="14"/>
      <c r="N120" s="14"/>
      <c r="O120" s="14"/>
      <c r="P120" s="14"/>
      <c r="Q120" s="14"/>
      <c r="R120" s="14"/>
      <c r="S120" s="14"/>
      <c r="T120" s="14"/>
      <c r="U120" s="14"/>
      <c r="V120" s="14"/>
      <c r="W120" s="14"/>
      <c r="X120" s="14"/>
      <c r="Y120" s="14"/>
      <c r="Z120" s="14"/>
      <c r="AA120" s="14"/>
      <c r="AB120" s="14"/>
      <c r="AC120" s="14"/>
      <c r="AD120" s="14"/>
      <c r="AE120" s="14"/>
      <c r="AF120" s="14"/>
      <c r="AG120" s="14"/>
      <c r="AH120" s="14"/>
      <c r="AI120" s="14"/>
      <c r="AJ120" s="14"/>
      <c r="AK120" s="14"/>
      <c r="AL120" s="14"/>
      <c r="AM120" s="14"/>
      <c r="AN120" s="14"/>
      <c r="AO120" s="14"/>
      <c r="AP120" s="14"/>
      <c r="AQ120" s="14"/>
      <c r="AR120" s="14"/>
      <c r="AS120" s="14"/>
      <c r="AT120" s="14"/>
      <c r="AU120" s="14"/>
    </row>
    <row r="121" spans="10:47" x14ac:dyDescent="0.2">
      <c r="J121" s="13" t="s">
        <v>384</v>
      </c>
      <c r="K121" s="14"/>
      <c r="L121" s="14"/>
      <c r="M121" s="14"/>
      <c r="N121" s="14"/>
      <c r="O121" s="14"/>
      <c r="P121" s="14"/>
      <c r="Q121" s="14"/>
      <c r="R121" s="14"/>
      <c r="S121" s="14"/>
      <c r="T121" s="14"/>
      <c r="U121" s="14"/>
      <c r="V121" s="14"/>
      <c r="W121" s="14"/>
      <c r="X121" s="14"/>
      <c r="Y121" s="14"/>
      <c r="Z121" s="14"/>
      <c r="AA121" s="14"/>
      <c r="AB121" s="14"/>
      <c r="AC121" s="14"/>
      <c r="AD121" s="14"/>
      <c r="AE121" s="14"/>
      <c r="AF121" s="14"/>
      <c r="AG121" s="14"/>
      <c r="AH121" s="14"/>
      <c r="AI121" s="14"/>
      <c r="AJ121" s="14"/>
      <c r="AK121" s="14"/>
      <c r="AL121" s="14"/>
      <c r="AM121" s="14"/>
      <c r="AN121" s="14"/>
      <c r="AO121" s="14"/>
      <c r="AP121" s="14"/>
      <c r="AQ121" s="14"/>
      <c r="AR121" s="14"/>
      <c r="AS121" s="14"/>
      <c r="AT121" s="14"/>
      <c r="AU121" s="14"/>
    </row>
    <row r="122" spans="10:47" x14ac:dyDescent="0.2">
      <c r="J122" s="13" t="s">
        <v>385</v>
      </c>
      <c r="K122" s="14"/>
      <c r="L122" s="14"/>
      <c r="M122" s="14"/>
      <c r="N122" s="14"/>
      <c r="O122" s="14"/>
      <c r="P122" s="14"/>
      <c r="Q122" s="14"/>
      <c r="R122" s="14"/>
      <c r="S122" s="14"/>
      <c r="T122" s="14"/>
      <c r="U122" s="14"/>
      <c r="V122" s="14"/>
      <c r="W122" s="14"/>
      <c r="X122" s="14"/>
      <c r="Y122" s="14"/>
      <c r="Z122" s="14"/>
      <c r="AA122" s="14"/>
      <c r="AB122" s="14"/>
      <c r="AC122" s="14"/>
      <c r="AD122" s="14"/>
      <c r="AE122" s="14"/>
      <c r="AF122" s="14"/>
      <c r="AG122" s="14"/>
      <c r="AH122" s="14"/>
      <c r="AI122" s="14"/>
      <c r="AJ122" s="14"/>
      <c r="AK122" s="14"/>
      <c r="AL122" s="14"/>
      <c r="AM122" s="14"/>
      <c r="AN122" s="14"/>
      <c r="AO122" s="14"/>
      <c r="AP122" s="14"/>
      <c r="AQ122" s="14"/>
      <c r="AR122" s="14"/>
      <c r="AS122" s="14"/>
      <c r="AT122" s="14"/>
      <c r="AU122" s="14"/>
    </row>
    <row r="123" spans="10:47" x14ac:dyDescent="0.2">
      <c r="J123" s="13" t="s">
        <v>343</v>
      </c>
      <c r="K123" s="14"/>
      <c r="L123" s="14"/>
      <c r="M123" s="14"/>
      <c r="N123" s="14"/>
      <c r="O123" s="14"/>
      <c r="P123" s="14"/>
      <c r="Q123" s="14"/>
      <c r="R123" s="14"/>
      <c r="S123" s="14"/>
      <c r="T123" s="14"/>
      <c r="U123" s="14"/>
      <c r="V123" s="14"/>
      <c r="W123" s="14"/>
      <c r="X123" s="14"/>
      <c r="Y123" s="14"/>
      <c r="Z123" s="14"/>
      <c r="AA123" s="14"/>
      <c r="AB123" s="14"/>
      <c r="AC123" s="14"/>
      <c r="AD123" s="14"/>
      <c r="AE123" s="14"/>
      <c r="AF123" s="14"/>
      <c r="AG123" s="14"/>
      <c r="AH123" s="14"/>
      <c r="AI123" s="14"/>
      <c r="AJ123" s="14"/>
      <c r="AK123" s="14"/>
      <c r="AL123" s="14"/>
      <c r="AM123" s="14"/>
      <c r="AN123" s="14"/>
      <c r="AO123" s="14"/>
      <c r="AP123" s="14"/>
      <c r="AQ123" s="14"/>
      <c r="AR123" s="14"/>
      <c r="AS123" s="14"/>
      <c r="AT123" s="14"/>
      <c r="AU123" s="14"/>
    </row>
    <row r="124" spans="10:47" x14ac:dyDescent="0.2">
      <c r="J124" s="13" t="s">
        <v>386</v>
      </c>
      <c r="K124" s="14"/>
      <c r="L124" s="14"/>
      <c r="M124" s="14"/>
      <c r="N124" s="14"/>
      <c r="O124" s="14"/>
      <c r="P124" s="14"/>
      <c r="Q124" s="14"/>
      <c r="R124" s="14"/>
      <c r="S124" s="14"/>
      <c r="T124" s="14"/>
      <c r="U124" s="14"/>
      <c r="V124" s="14"/>
      <c r="W124" s="14"/>
      <c r="X124" s="14"/>
      <c r="Y124" s="14"/>
      <c r="Z124" s="14"/>
      <c r="AA124" s="14"/>
      <c r="AB124" s="14"/>
      <c r="AC124" s="14"/>
      <c r="AD124" s="14"/>
      <c r="AE124" s="14"/>
      <c r="AF124" s="14"/>
      <c r="AG124" s="14"/>
      <c r="AH124" s="14"/>
      <c r="AI124" s="14"/>
      <c r="AJ124" s="14"/>
      <c r="AK124" s="14"/>
      <c r="AL124" s="14"/>
      <c r="AM124" s="14"/>
      <c r="AN124" s="14"/>
      <c r="AO124" s="14"/>
      <c r="AP124" s="14"/>
      <c r="AQ124" s="14"/>
      <c r="AR124" s="14"/>
      <c r="AS124" s="14"/>
      <c r="AT124" s="14"/>
      <c r="AU124" s="14"/>
    </row>
    <row r="125" spans="10:47" x14ac:dyDescent="0.2">
      <c r="J125" s="13" t="s">
        <v>387</v>
      </c>
      <c r="K125" s="14"/>
      <c r="L125" s="14"/>
      <c r="M125" s="14"/>
      <c r="N125" s="14"/>
      <c r="O125" s="14"/>
      <c r="P125" s="14"/>
      <c r="Q125" s="14"/>
      <c r="R125" s="14"/>
      <c r="S125" s="14"/>
      <c r="T125" s="14"/>
      <c r="U125" s="14"/>
      <c r="V125" s="14"/>
      <c r="W125" s="14"/>
      <c r="X125" s="14"/>
      <c r="Y125" s="14"/>
      <c r="Z125" s="14"/>
      <c r="AA125" s="14"/>
      <c r="AB125" s="14"/>
      <c r="AC125" s="14"/>
      <c r="AD125" s="14"/>
      <c r="AE125" s="14"/>
      <c r="AF125" s="14"/>
      <c r="AG125" s="14"/>
      <c r="AH125" s="14"/>
      <c r="AI125" s="14"/>
      <c r="AJ125" s="14"/>
      <c r="AK125" s="14"/>
      <c r="AL125" s="14"/>
      <c r="AM125" s="14"/>
      <c r="AN125" s="14"/>
      <c r="AO125" s="14"/>
      <c r="AP125" s="14"/>
      <c r="AQ125" s="14"/>
      <c r="AR125" s="14"/>
      <c r="AS125" s="14"/>
      <c r="AT125" s="14"/>
      <c r="AU125" s="14"/>
    </row>
    <row r="126" spans="10:47" x14ac:dyDescent="0.2">
      <c r="J126" s="13" t="s">
        <v>388</v>
      </c>
      <c r="K126" s="14"/>
      <c r="L126" s="14"/>
      <c r="M126" s="14"/>
      <c r="N126" s="14"/>
      <c r="O126" s="14"/>
      <c r="P126" s="14"/>
      <c r="Q126" s="14"/>
      <c r="R126" s="14"/>
      <c r="S126" s="14"/>
      <c r="T126" s="14"/>
      <c r="U126" s="14"/>
      <c r="V126" s="14"/>
      <c r="W126" s="14"/>
      <c r="X126" s="14"/>
      <c r="Y126" s="14"/>
      <c r="Z126" s="14"/>
      <c r="AA126" s="14"/>
      <c r="AB126" s="14"/>
      <c r="AC126" s="14"/>
      <c r="AD126" s="14"/>
      <c r="AE126" s="14"/>
      <c r="AF126" s="14"/>
      <c r="AG126" s="14"/>
      <c r="AH126" s="14"/>
      <c r="AI126" s="14"/>
      <c r="AJ126" s="14"/>
      <c r="AK126" s="14"/>
      <c r="AL126" s="14"/>
      <c r="AM126" s="14"/>
      <c r="AN126" s="14"/>
      <c r="AO126" s="14"/>
      <c r="AP126" s="14"/>
      <c r="AQ126" s="14"/>
      <c r="AR126" s="14"/>
      <c r="AS126" s="14"/>
      <c r="AT126" s="14"/>
      <c r="AU126" s="14"/>
    </row>
    <row r="127" spans="10:47" x14ac:dyDescent="0.2">
      <c r="J127" s="13" t="s">
        <v>389</v>
      </c>
      <c r="K127" s="14"/>
      <c r="L127" s="14"/>
      <c r="M127" s="14"/>
      <c r="N127" s="14"/>
      <c r="O127" s="14"/>
      <c r="P127" s="14"/>
      <c r="Q127" s="14"/>
      <c r="R127" s="14"/>
      <c r="S127" s="14"/>
      <c r="T127" s="14"/>
      <c r="U127" s="14"/>
      <c r="V127" s="14"/>
      <c r="W127" s="14"/>
      <c r="X127" s="14"/>
      <c r="Y127" s="14"/>
      <c r="Z127" s="14"/>
      <c r="AA127" s="14"/>
      <c r="AB127" s="14"/>
      <c r="AC127" s="14"/>
      <c r="AD127" s="14"/>
      <c r="AE127" s="14"/>
      <c r="AF127" s="14"/>
      <c r="AG127" s="14"/>
      <c r="AH127" s="14"/>
      <c r="AI127" s="14"/>
      <c r="AJ127" s="14"/>
      <c r="AK127" s="14"/>
      <c r="AL127" s="14"/>
      <c r="AM127" s="14"/>
      <c r="AN127" s="14"/>
      <c r="AO127" s="14"/>
      <c r="AP127" s="14"/>
      <c r="AQ127" s="14"/>
      <c r="AR127" s="14"/>
      <c r="AS127" s="14"/>
      <c r="AT127" s="14"/>
      <c r="AU127" s="14"/>
    </row>
    <row r="128" spans="10:47" x14ac:dyDescent="0.2">
      <c r="J128" s="13" t="s">
        <v>385</v>
      </c>
      <c r="K128" s="14"/>
      <c r="L128" s="14"/>
      <c r="M128" s="14"/>
      <c r="N128" s="14"/>
      <c r="O128" s="14"/>
      <c r="P128" s="14"/>
      <c r="Q128" s="14"/>
      <c r="R128" s="14"/>
      <c r="S128" s="14"/>
      <c r="T128" s="14"/>
      <c r="U128" s="14"/>
      <c r="V128" s="14"/>
      <c r="W128" s="14"/>
      <c r="X128" s="14"/>
      <c r="Y128" s="14"/>
      <c r="Z128" s="14"/>
      <c r="AA128" s="14"/>
      <c r="AB128" s="14"/>
      <c r="AC128" s="14"/>
      <c r="AD128" s="14"/>
      <c r="AE128" s="14"/>
      <c r="AF128" s="14"/>
      <c r="AG128" s="14"/>
      <c r="AH128" s="14"/>
      <c r="AI128" s="14"/>
      <c r="AJ128" s="14"/>
      <c r="AK128" s="14"/>
      <c r="AL128" s="14"/>
      <c r="AM128" s="14"/>
      <c r="AN128" s="14"/>
      <c r="AO128" s="14"/>
      <c r="AP128" s="14"/>
      <c r="AQ128" s="14"/>
      <c r="AR128" s="14"/>
      <c r="AS128" s="14"/>
      <c r="AT128" s="14"/>
      <c r="AU128" s="14"/>
    </row>
    <row r="129" spans="10:47" x14ac:dyDescent="0.2">
      <c r="J129" s="13" t="s">
        <v>343</v>
      </c>
      <c r="K129" s="14"/>
      <c r="L129" s="14"/>
      <c r="M129" s="14"/>
      <c r="N129" s="14"/>
      <c r="O129" s="14"/>
      <c r="P129" s="14"/>
      <c r="Q129" s="14"/>
      <c r="R129" s="14"/>
      <c r="S129" s="14"/>
      <c r="T129" s="14"/>
      <c r="U129" s="14"/>
      <c r="V129" s="14"/>
      <c r="W129" s="14"/>
      <c r="X129" s="14"/>
      <c r="Y129" s="14"/>
      <c r="Z129" s="14"/>
      <c r="AA129" s="14"/>
      <c r="AB129" s="14"/>
      <c r="AC129" s="14"/>
      <c r="AD129" s="14"/>
      <c r="AE129" s="14"/>
      <c r="AF129" s="14"/>
      <c r="AG129" s="14"/>
      <c r="AH129" s="14"/>
      <c r="AI129" s="14"/>
      <c r="AJ129" s="14"/>
      <c r="AK129" s="14"/>
      <c r="AL129" s="14"/>
      <c r="AM129" s="14"/>
      <c r="AN129" s="14"/>
      <c r="AO129" s="14"/>
      <c r="AP129" s="14"/>
      <c r="AQ129" s="14"/>
      <c r="AR129" s="14"/>
      <c r="AS129" s="14"/>
      <c r="AT129" s="14"/>
      <c r="AU129" s="14"/>
    </row>
    <row r="130" spans="10:47" x14ac:dyDescent="0.2">
      <c r="J130" s="13" t="s">
        <v>386</v>
      </c>
      <c r="K130" s="14"/>
      <c r="L130" s="14"/>
      <c r="M130" s="14"/>
      <c r="N130" s="14"/>
      <c r="O130" s="14"/>
      <c r="P130" s="14"/>
      <c r="Q130" s="14"/>
      <c r="R130" s="14"/>
      <c r="S130" s="14"/>
      <c r="T130" s="14"/>
      <c r="U130" s="14"/>
      <c r="V130" s="14"/>
      <c r="W130" s="14"/>
      <c r="X130" s="14"/>
      <c r="Y130" s="14"/>
      <c r="Z130" s="14"/>
      <c r="AA130" s="14"/>
      <c r="AB130" s="14"/>
      <c r="AC130" s="14"/>
      <c r="AD130" s="14"/>
      <c r="AE130" s="14"/>
      <c r="AF130" s="14"/>
      <c r="AG130" s="14"/>
      <c r="AH130" s="14"/>
      <c r="AI130" s="14"/>
      <c r="AJ130" s="14"/>
      <c r="AK130" s="14"/>
      <c r="AL130" s="14"/>
      <c r="AM130" s="14"/>
      <c r="AN130" s="14"/>
      <c r="AO130" s="14"/>
      <c r="AP130" s="14"/>
      <c r="AQ130" s="14"/>
      <c r="AR130" s="14"/>
      <c r="AS130" s="14"/>
      <c r="AT130" s="14"/>
      <c r="AU130" s="14"/>
    </row>
    <row r="131" spans="10:47" x14ac:dyDescent="0.2">
      <c r="J131" s="13" t="s">
        <v>387</v>
      </c>
      <c r="K131" s="14"/>
      <c r="L131" s="14"/>
      <c r="M131" s="14"/>
      <c r="N131" s="14"/>
      <c r="O131" s="14"/>
      <c r="P131" s="14"/>
      <c r="Q131" s="14"/>
      <c r="R131" s="14"/>
      <c r="S131" s="14"/>
      <c r="T131" s="14"/>
      <c r="U131" s="14"/>
      <c r="V131" s="14"/>
      <c r="W131" s="14"/>
      <c r="X131" s="14"/>
      <c r="Y131" s="14"/>
      <c r="Z131" s="14"/>
      <c r="AA131" s="14"/>
      <c r="AB131" s="14"/>
      <c r="AC131" s="14"/>
      <c r="AD131" s="14"/>
      <c r="AE131" s="14"/>
      <c r="AF131" s="14"/>
      <c r="AG131" s="14"/>
      <c r="AH131" s="14"/>
      <c r="AI131" s="14"/>
      <c r="AJ131" s="14"/>
      <c r="AK131" s="14"/>
      <c r="AL131" s="14"/>
      <c r="AM131" s="14"/>
      <c r="AN131" s="14"/>
      <c r="AO131" s="14"/>
      <c r="AP131" s="14"/>
      <c r="AQ131" s="14"/>
      <c r="AR131" s="14"/>
      <c r="AS131" s="14"/>
      <c r="AT131" s="14"/>
      <c r="AU131" s="14"/>
    </row>
    <row r="132" spans="10:47" x14ac:dyDescent="0.2">
      <c r="J132" s="13" t="s">
        <v>388</v>
      </c>
      <c r="K132" s="14"/>
      <c r="L132" s="14"/>
      <c r="M132" s="14"/>
      <c r="N132" s="14"/>
      <c r="O132" s="14"/>
      <c r="P132" s="14"/>
      <c r="Q132" s="14"/>
      <c r="R132" s="14"/>
      <c r="S132" s="14"/>
      <c r="T132" s="14"/>
      <c r="U132" s="14"/>
      <c r="V132" s="14"/>
      <c r="W132" s="14"/>
      <c r="X132" s="14"/>
      <c r="Y132" s="14"/>
      <c r="Z132" s="14"/>
      <c r="AA132" s="14"/>
      <c r="AB132" s="14"/>
      <c r="AC132" s="14"/>
      <c r="AD132" s="14"/>
      <c r="AE132" s="14"/>
      <c r="AF132" s="14"/>
      <c r="AG132" s="14"/>
      <c r="AH132" s="14"/>
      <c r="AI132" s="14"/>
      <c r="AJ132" s="14"/>
      <c r="AK132" s="14"/>
      <c r="AL132" s="14"/>
      <c r="AM132" s="14"/>
      <c r="AN132" s="14"/>
      <c r="AO132" s="14"/>
      <c r="AP132" s="14"/>
      <c r="AQ132" s="14"/>
      <c r="AR132" s="14"/>
      <c r="AS132" s="14"/>
      <c r="AT132" s="14"/>
      <c r="AU132" s="14"/>
    </row>
    <row r="133" spans="10:47" x14ac:dyDescent="0.2">
      <c r="J133" s="13" t="s">
        <v>389</v>
      </c>
      <c r="K133" s="14"/>
      <c r="L133" s="14"/>
      <c r="M133" s="14"/>
      <c r="N133" s="14"/>
      <c r="O133" s="14"/>
      <c r="P133" s="14"/>
      <c r="Q133" s="14"/>
      <c r="R133" s="14"/>
      <c r="S133" s="14"/>
      <c r="T133" s="14"/>
      <c r="U133" s="14"/>
      <c r="V133" s="14"/>
      <c r="W133" s="14"/>
      <c r="X133" s="14"/>
      <c r="Y133" s="14"/>
      <c r="Z133" s="14"/>
      <c r="AA133" s="14"/>
      <c r="AB133" s="14"/>
      <c r="AC133" s="14"/>
      <c r="AD133" s="14"/>
      <c r="AE133" s="14"/>
      <c r="AF133" s="14"/>
      <c r="AG133" s="14"/>
      <c r="AH133" s="14"/>
      <c r="AI133" s="14"/>
      <c r="AJ133" s="14"/>
      <c r="AK133" s="14"/>
      <c r="AL133" s="14"/>
      <c r="AM133" s="14"/>
      <c r="AN133" s="14"/>
      <c r="AO133" s="14"/>
      <c r="AP133" s="14"/>
      <c r="AQ133" s="14"/>
      <c r="AR133" s="14"/>
      <c r="AS133" s="14"/>
      <c r="AT133" s="14"/>
      <c r="AU133" s="14"/>
    </row>
    <row r="134" spans="10:47" x14ac:dyDescent="0.2">
      <c r="J134" s="13" t="s">
        <v>385</v>
      </c>
      <c r="K134" s="14"/>
      <c r="L134" s="14"/>
      <c r="M134" s="14"/>
      <c r="N134" s="14"/>
      <c r="O134" s="14"/>
      <c r="P134" s="14"/>
      <c r="Q134" s="14"/>
      <c r="R134" s="14"/>
      <c r="S134" s="14"/>
      <c r="T134" s="14"/>
      <c r="U134" s="14"/>
      <c r="V134" s="14"/>
      <c r="W134" s="14"/>
      <c r="X134" s="14"/>
      <c r="Y134" s="14"/>
      <c r="Z134" s="14"/>
      <c r="AA134" s="14"/>
      <c r="AB134" s="14"/>
      <c r="AC134" s="14"/>
      <c r="AD134" s="14"/>
      <c r="AE134" s="14"/>
      <c r="AF134" s="14"/>
      <c r="AG134" s="14"/>
      <c r="AH134" s="14"/>
      <c r="AI134" s="14"/>
      <c r="AJ134" s="14"/>
      <c r="AK134" s="14"/>
      <c r="AL134" s="14"/>
      <c r="AM134" s="14"/>
      <c r="AN134" s="14"/>
      <c r="AO134" s="14"/>
      <c r="AP134" s="14"/>
      <c r="AQ134" s="14"/>
      <c r="AR134" s="14"/>
      <c r="AS134" s="14"/>
      <c r="AT134" s="14"/>
      <c r="AU134" s="14"/>
    </row>
    <row r="135" spans="10:47" x14ac:dyDescent="0.2">
      <c r="J135" s="13" t="s">
        <v>343</v>
      </c>
      <c r="K135" s="14"/>
      <c r="L135" s="14"/>
      <c r="M135" s="14"/>
      <c r="N135" s="14"/>
      <c r="O135" s="14"/>
      <c r="P135" s="14"/>
      <c r="Q135" s="14"/>
      <c r="R135" s="14"/>
      <c r="S135" s="14"/>
      <c r="T135" s="14"/>
      <c r="U135" s="14"/>
      <c r="V135" s="14"/>
      <c r="W135" s="14"/>
      <c r="X135" s="14"/>
      <c r="Y135" s="14"/>
      <c r="Z135" s="14"/>
      <c r="AA135" s="14"/>
      <c r="AB135" s="14"/>
      <c r="AC135" s="14"/>
      <c r="AD135" s="14"/>
      <c r="AE135" s="14"/>
      <c r="AF135" s="14"/>
      <c r="AG135" s="14"/>
      <c r="AH135" s="14"/>
      <c r="AI135" s="14"/>
      <c r="AJ135" s="14"/>
      <c r="AK135" s="14"/>
      <c r="AL135" s="14"/>
      <c r="AM135" s="14"/>
      <c r="AN135" s="14"/>
      <c r="AO135" s="14"/>
      <c r="AP135" s="14"/>
      <c r="AQ135" s="14"/>
      <c r="AR135" s="14"/>
      <c r="AS135" s="14"/>
      <c r="AT135" s="14"/>
      <c r="AU135" s="14"/>
    </row>
    <row r="136" spans="10:47" x14ac:dyDescent="0.2">
      <c r="J136" s="13" t="s">
        <v>386</v>
      </c>
      <c r="K136" s="14"/>
      <c r="L136" s="14"/>
      <c r="M136" s="14"/>
      <c r="N136" s="14"/>
      <c r="O136" s="14"/>
      <c r="P136" s="14"/>
      <c r="Q136" s="14"/>
      <c r="R136" s="14"/>
      <c r="S136" s="14"/>
      <c r="T136" s="14"/>
      <c r="U136" s="14"/>
      <c r="V136" s="14"/>
      <c r="W136" s="14"/>
      <c r="X136" s="14"/>
      <c r="Y136" s="14"/>
      <c r="Z136" s="14"/>
      <c r="AA136" s="14"/>
      <c r="AB136" s="14"/>
      <c r="AC136" s="14"/>
      <c r="AD136" s="14"/>
      <c r="AE136" s="14"/>
      <c r="AF136" s="14"/>
      <c r="AG136" s="14"/>
      <c r="AH136" s="14"/>
      <c r="AI136" s="14"/>
      <c r="AJ136" s="14"/>
      <c r="AK136" s="14"/>
      <c r="AL136" s="14"/>
      <c r="AM136" s="14"/>
      <c r="AN136" s="14"/>
      <c r="AO136" s="14"/>
      <c r="AP136" s="14"/>
      <c r="AQ136" s="14"/>
      <c r="AR136" s="14"/>
      <c r="AS136" s="14"/>
      <c r="AT136" s="14"/>
      <c r="AU136" s="14"/>
    </row>
    <row r="137" spans="10:47" x14ac:dyDescent="0.2">
      <c r="J137" s="13" t="s">
        <v>387</v>
      </c>
      <c r="K137" s="14"/>
      <c r="L137" s="14"/>
      <c r="M137" s="14"/>
      <c r="N137" s="14"/>
      <c r="O137" s="14"/>
      <c r="P137" s="14"/>
      <c r="Q137" s="14"/>
      <c r="R137" s="14"/>
      <c r="S137" s="14"/>
      <c r="T137" s="14"/>
      <c r="U137" s="14"/>
      <c r="V137" s="14"/>
      <c r="W137" s="14"/>
      <c r="X137" s="14"/>
      <c r="Y137" s="14"/>
      <c r="Z137" s="14"/>
      <c r="AA137" s="14"/>
      <c r="AB137" s="14"/>
      <c r="AC137" s="14"/>
      <c r="AD137" s="14"/>
      <c r="AE137" s="14"/>
      <c r="AF137" s="14"/>
      <c r="AG137" s="14"/>
      <c r="AH137" s="14"/>
      <c r="AI137" s="14"/>
      <c r="AJ137" s="14"/>
      <c r="AK137" s="14"/>
      <c r="AL137" s="14"/>
      <c r="AM137" s="14"/>
      <c r="AN137" s="14"/>
      <c r="AO137" s="14"/>
      <c r="AP137" s="14"/>
      <c r="AQ137" s="14"/>
      <c r="AR137" s="14"/>
      <c r="AS137" s="14"/>
      <c r="AT137" s="14"/>
      <c r="AU137" s="14"/>
    </row>
    <row r="138" spans="10:47" x14ac:dyDescent="0.2">
      <c r="J138" s="13" t="s">
        <v>388</v>
      </c>
      <c r="K138" s="14"/>
      <c r="L138" s="14"/>
      <c r="M138" s="14"/>
      <c r="N138" s="14"/>
      <c r="O138" s="14"/>
      <c r="P138" s="14"/>
      <c r="Q138" s="14"/>
      <c r="R138" s="14"/>
      <c r="S138" s="14"/>
      <c r="T138" s="14"/>
      <c r="U138" s="14"/>
      <c r="V138" s="14"/>
      <c r="W138" s="14"/>
      <c r="X138" s="14"/>
      <c r="Y138" s="14"/>
      <c r="Z138" s="14"/>
      <c r="AA138" s="14"/>
      <c r="AB138" s="14"/>
      <c r="AC138" s="14"/>
      <c r="AD138" s="14"/>
      <c r="AE138" s="14"/>
      <c r="AF138" s="14"/>
      <c r="AG138" s="14"/>
      <c r="AH138" s="14"/>
      <c r="AI138" s="14"/>
      <c r="AJ138" s="14"/>
      <c r="AK138" s="14"/>
      <c r="AL138" s="14"/>
      <c r="AM138" s="14"/>
      <c r="AN138" s="14"/>
      <c r="AO138" s="14"/>
      <c r="AP138" s="14"/>
      <c r="AQ138" s="14"/>
      <c r="AR138" s="14"/>
      <c r="AS138" s="14"/>
      <c r="AT138" s="14"/>
      <c r="AU138" s="14"/>
    </row>
    <row r="139" spans="10:47" x14ac:dyDescent="0.2">
      <c r="J139" s="13" t="s">
        <v>389</v>
      </c>
      <c r="K139" s="14"/>
      <c r="L139" s="14"/>
      <c r="M139" s="14"/>
      <c r="N139" s="14"/>
      <c r="O139" s="14"/>
      <c r="P139" s="14"/>
      <c r="Q139" s="14"/>
      <c r="R139" s="14"/>
      <c r="S139" s="14"/>
      <c r="T139" s="14"/>
      <c r="U139" s="14"/>
      <c r="V139" s="14"/>
      <c r="W139" s="14"/>
      <c r="X139" s="14"/>
      <c r="Y139" s="14"/>
      <c r="Z139" s="14"/>
      <c r="AA139" s="14"/>
      <c r="AB139" s="14"/>
      <c r="AC139" s="14"/>
      <c r="AD139" s="14"/>
      <c r="AE139" s="14"/>
      <c r="AF139" s="14"/>
      <c r="AG139" s="14"/>
      <c r="AH139" s="14"/>
      <c r="AI139" s="14"/>
      <c r="AJ139" s="14"/>
      <c r="AK139" s="14"/>
      <c r="AL139" s="14"/>
      <c r="AM139" s="14"/>
      <c r="AN139" s="14"/>
      <c r="AO139" s="14"/>
      <c r="AP139" s="14"/>
      <c r="AQ139" s="14"/>
      <c r="AR139" s="14"/>
      <c r="AS139" s="14"/>
      <c r="AT139" s="14"/>
      <c r="AU139" s="14"/>
    </row>
    <row r="140" spans="10:47" x14ac:dyDescent="0.2">
      <c r="J140" s="13" t="s">
        <v>385</v>
      </c>
      <c r="K140" s="14"/>
      <c r="L140" s="14"/>
      <c r="M140" s="14"/>
      <c r="N140" s="14"/>
      <c r="O140" s="14"/>
      <c r="P140" s="14"/>
      <c r="Q140" s="14"/>
      <c r="R140" s="14"/>
      <c r="S140" s="14"/>
      <c r="T140" s="14"/>
      <c r="U140" s="14"/>
      <c r="V140" s="14"/>
      <c r="W140" s="14"/>
      <c r="X140" s="14"/>
      <c r="Y140" s="14"/>
      <c r="Z140" s="14"/>
      <c r="AA140" s="14"/>
      <c r="AB140" s="14"/>
      <c r="AC140" s="14"/>
      <c r="AD140" s="14"/>
      <c r="AE140" s="14"/>
      <c r="AF140" s="14"/>
      <c r="AG140" s="14"/>
      <c r="AH140" s="14"/>
      <c r="AI140" s="14"/>
      <c r="AJ140" s="14"/>
      <c r="AK140" s="14"/>
      <c r="AL140" s="14"/>
      <c r="AM140" s="14"/>
      <c r="AN140" s="14"/>
      <c r="AO140" s="14"/>
      <c r="AP140" s="14"/>
      <c r="AQ140" s="14"/>
      <c r="AR140" s="14"/>
      <c r="AS140" s="14"/>
      <c r="AT140" s="14"/>
      <c r="AU140" s="14"/>
    </row>
    <row r="141" spans="10:47" x14ac:dyDescent="0.2">
      <c r="J141" s="13" t="s">
        <v>343</v>
      </c>
      <c r="K141" s="14"/>
      <c r="L141" s="14"/>
      <c r="M141" s="14"/>
      <c r="N141" s="14"/>
      <c r="O141" s="14"/>
      <c r="P141" s="14"/>
      <c r="Q141" s="14"/>
      <c r="R141" s="14"/>
      <c r="S141" s="14"/>
      <c r="T141" s="14"/>
      <c r="U141" s="14"/>
      <c r="V141" s="14"/>
      <c r="W141" s="14"/>
      <c r="X141" s="14"/>
      <c r="Y141" s="14"/>
      <c r="Z141" s="14"/>
      <c r="AA141" s="14"/>
      <c r="AB141" s="14"/>
      <c r="AC141" s="14"/>
      <c r="AD141" s="14"/>
      <c r="AE141" s="14"/>
      <c r="AF141" s="14"/>
      <c r="AG141" s="14"/>
      <c r="AH141" s="14"/>
      <c r="AI141" s="14"/>
      <c r="AJ141" s="14"/>
      <c r="AK141" s="14"/>
      <c r="AL141" s="14"/>
      <c r="AM141" s="14"/>
      <c r="AN141" s="14"/>
      <c r="AO141" s="14"/>
      <c r="AP141" s="14"/>
      <c r="AQ141" s="14"/>
      <c r="AR141" s="14"/>
      <c r="AS141" s="14"/>
      <c r="AT141" s="14"/>
      <c r="AU141" s="14"/>
    </row>
    <row r="142" spans="10:47" x14ac:dyDescent="0.2">
      <c r="J142" s="13" t="s">
        <v>386</v>
      </c>
      <c r="K142" s="14"/>
      <c r="L142" s="14"/>
      <c r="M142" s="14"/>
      <c r="N142" s="14"/>
      <c r="O142" s="14"/>
      <c r="P142" s="14"/>
      <c r="Q142" s="14"/>
      <c r="R142" s="14"/>
      <c r="S142" s="14"/>
      <c r="T142" s="14"/>
      <c r="U142" s="14"/>
      <c r="V142" s="14"/>
      <c r="W142" s="14"/>
      <c r="X142" s="14"/>
      <c r="Y142" s="14"/>
      <c r="Z142" s="14"/>
      <c r="AA142" s="14"/>
      <c r="AB142" s="14"/>
      <c r="AC142" s="14"/>
      <c r="AD142" s="14"/>
      <c r="AE142" s="14"/>
      <c r="AF142" s="14"/>
      <c r="AG142" s="14"/>
      <c r="AH142" s="14"/>
      <c r="AI142" s="14"/>
      <c r="AJ142" s="14"/>
      <c r="AK142" s="14"/>
      <c r="AL142" s="14"/>
      <c r="AM142" s="14"/>
      <c r="AN142" s="14"/>
      <c r="AO142" s="14"/>
      <c r="AP142" s="14"/>
      <c r="AQ142" s="14"/>
      <c r="AR142" s="14"/>
      <c r="AS142" s="14"/>
      <c r="AT142" s="14"/>
      <c r="AU142" s="14"/>
    </row>
    <row r="143" spans="10:47" x14ac:dyDescent="0.2">
      <c r="J143" s="13" t="s">
        <v>387</v>
      </c>
      <c r="K143" s="14"/>
      <c r="L143" s="14"/>
      <c r="M143" s="14"/>
      <c r="N143" s="14"/>
      <c r="O143" s="14"/>
      <c r="P143" s="14"/>
      <c r="Q143" s="14"/>
      <c r="R143" s="14"/>
      <c r="S143" s="14"/>
      <c r="T143" s="14"/>
      <c r="U143" s="14"/>
      <c r="V143" s="14"/>
      <c r="W143" s="14"/>
      <c r="X143" s="14"/>
      <c r="Y143" s="14"/>
      <c r="Z143" s="14"/>
      <c r="AA143" s="14"/>
      <c r="AB143" s="14"/>
      <c r="AC143" s="14"/>
      <c r="AD143" s="14"/>
      <c r="AE143" s="14"/>
      <c r="AF143" s="14"/>
      <c r="AG143" s="14"/>
      <c r="AH143" s="14"/>
      <c r="AI143" s="14"/>
      <c r="AJ143" s="14"/>
      <c r="AK143" s="14"/>
      <c r="AL143" s="14"/>
      <c r="AM143" s="14"/>
      <c r="AN143" s="14"/>
      <c r="AO143" s="14"/>
      <c r="AP143" s="14"/>
      <c r="AQ143" s="14"/>
      <c r="AR143" s="14"/>
      <c r="AS143" s="14"/>
      <c r="AT143" s="14"/>
      <c r="AU143" s="14"/>
    </row>
    <row r="144" spans="10:47" x14ac:dyDescent="0.2">
      <c r="J144" s="13" t="s">
        <v>388</v>
      </c>
      <c r="K144" s="14"/>
      <c r="L144" s="14"/>
      <c r="M144" s="14"/>
      <c r="N144" s="14"/>
      <c r="O144" s="14"/>
      <c r="P144" s="14"/>
      <c r="Q144" s="14"/>
      <c r="R144" s="14"/>
      <c r="S144" s="14"/>
      <c r="T144" s="14"/>
      <c r="U144" s="14"/>
      <c r="V144" s="14"/>
      <c r="W144" s="14"/>
      <c r="X144" s="14"/>
      <c r="Y144" s="14"/>
      <c r="Z144" s="14"/>
      <c r="AA144" s="14"/>
      <c r="AB144" s="14"/>
      <c r="AC144" s="14"/>
      <c r="AD144" s="14"/>
      <c r="AE144" s="14"/>
      <c r="AF144" s="14"/>
      <c r="AG144" s="14"/>
      <c r="AH144" s="14"/>
      <c r="AI144" s="14"/>
      <c r="AJ144" s="14"/>
      <c r="AK144" s="14"/>
      <c r="AL144" s="14"/>
      <c r="AM144" s="14"/>
      <c r="AN144" s="14"/>
      <c r="AO144" s="14"/>
      <c r="AP144" s="14"/>
      <c r="AQ144" s="14"/>
      <c r="AR144" s="14"/>
      <c r="AS144" s="14"/>
      <c r="AT144" s="14"/>
      <c r="AU144" s="14"/>
    </row>
    <row r="145" spans="10:47" x14ac:dyDescent="0.2">
      <c r="J145" s="13" t="s">
        <v>389</v>
      </c>
      <c r="K145" s="14"/>
      <c r="L145" s="14"/>
      <c r="M145" s="14"/>
      <c r="N145" s="14"/>
      <c r="O145" s="14"/>
      <c r="P145" s="14"/>
      <c r="Q145" s="14"/>
      <c r="R145" s="14"/>
      <c r="S145" s="14"/>
      <c r="T145" s="14"/>
      <c r="U145" s="14"/>
      <c r="V145" s="14"/>
      <c r="W145" s="14"/>
      <c r="X145" s="14"/>
      <c r="Y145" s="14"/>
      <c r="Z145" s="14"/>
      <c r="AA145" s="14"/>
      <c r="AB145" s="14"/>
      <c r="AC145" s="14"/>
      <c r="AD145" s="14"/>
      <c r="AE145" s="14"/>
      <c r="AF145" s="14"/>
      <c r="AG145" s="14"/>
      <c r="AH145" s="14"/>
      <c r="AI145" s="14"/>
      <c r="AJ145" s="14"/>
      <c r="AK145" s="14"/>
      <c r="AL145" s="14"/>
      <c r="AM145" s="14"/>
      <c r="AN145" s="14"/>
      <c r="AO145" s="14"/>
      <c r="AP145" s="14"/>
      <c r="AQ145" s="14"/>
      <c r="AR145" s="14"/>
      <c r="AS145" s="14"/>
      <c r="AT145" s="14"/>
      <c r="AU145" s="14"/>
    </row>
    <row r="146" spans="10:47" x14ac:dyDescent="0.2">
      <c r="J146" s="13" t="s">
        <v>402</v>
      </c>
      <c r="K146" s="14" t="s">
        <v>404</v>
      </c>
      <c r="L146" s="14" t="s">
        <v>404</v>
      </c>
      <c r="M146" s="14" t="s">
        <v>404</v>
      </c>
      <c r="N146" s="14" t="s">
        <v>404</v>
      </c>
      <c r="O146" s="14" t="s">
        <v>404</v>
      </c>
      <c r="P146" s="14" t="s">
        <v>404</v>
      </c>
      <c r="Q146" s="14" t="s">
        <v>404</v>
      </c>
      <c r="R146" s="14" t="s">
        <v>404</v>
      </c>
      <c r="S146" s="14" t="s">
        <v>404</v>
      </c>
      <c r="T146" s="14" t="s">
        <v>404</v>
      </c>
      <c r="U146" s="14" t="s">
        <v>405</v>
      </c>
      <c r="V146" s="14" t="s">
        <v>408</v>
      </c>
      <c r="W146" s="14" t="s">
        <v>405</v>
      </c>
      <c r="X146" s="14" t="s">
        <v>405</v>
      </c>
      <c r="Y146" s="14" t="s">
        <v>405</v>
      </c>
      <c r="Z146" s="14" t="s">
        <v>405</v>
      </c>
      <c r="AA146" s="14" t="s">
        <v>405</v>
      </c>
      <c r="AB146" s="14" t="s">
        <v>405</v>
      </c>
      <c r="AC146" s="14" t="s">
        <v>405</v>
      </c>
      <c r="AD146" s="14" t="s">
        <v>408</v>
      </c>
      <c r="AE146" s="14" t="s">
        <v>408</v>
      </c>
      <c r="AF146" s="14" t="s">
        <v>408</v>
      </c>
      <c r="AG146" s="14" t="s">
        <v>408</v>
      </c>
      <c r="AH146" s="14" t="s">
        <v>408</v>
      </c>
      <c r="AI146" s="14" t="s">
        <v>408</v>
      </c>
      <c r="AJ146" s="14" t="s">
        <v>405</v>
      </c>
      <c r="AK146" s="14" t="s">
        <v>405</v>
      </c>
      <c r="AL146" s="14" t="s">
        <v>405</v>
      </c>
      <c r="AM146" s="14" t="s">
        <v>405</v>
      </c>
      <c r="AN146" s="14" t="s">
        <v>405</v>
      </c>
      <c r="AO146" s="14" t="s">
        <v>405</v>
      </c>
      <c r="AP146" s="14" t="s">
        <v>405</v>
      </c>
      <c r="AQ146" s="14" t="s">
        <v>405</v>
      </c>
      <c r="AR146" s="14" t="s">
        <v>408</v>
      </c>
      <c r="AS146" s="14" t="s">
        <v>409</v>
      </c>
      <c r="AT146" s="14" t="s">
        <v>409</v>
      </c>
      <c r="AU146" s="14" t="s">
        <v>409</v>
      </c>
    </row>
    <row r="147" spans="10:47" x14ac:dyDescent="0.2">
      <c r="J147" s="13" t="s">
        <v>403</v>
      </c>
      <c r="K147" s="14" t="s">
        <v>399</v>
      </c>
      <c r="L147" s="14" t="s">
        <v>21</v>
      </c>
      <c r="M147" s="14" t="s">
        <v>24</v>
      </c>
      <c r="N147" s="14" t="s">
        <v>23</v>
      </c>
      <c r="O147" s="14" t="s">
        <v>22</v>
      </c>
      <c r="P147" s="14" t="s">
        <v>399</v>
      </c>
      <c r="Q147" s="14" t="s">
        <v>21</v>
      </c>
      <c r="R147" s="14" t="s">
        <v>24</v>
      </c>
      <c r="S147" s="14" t="s">
        <v>23</v>
      </c>
      <c r="T147" s="14" t="s">
        <v>22</v>
      </c>
      <c r="U147" s="14" t="s">
        <v>25</v>
      </c>
      <c r="V147" s="14" t="s">
        <v>33</v>
      </c>
      <c r="W147" s="14" t="s">
        <v>26</v>
      </c>
      <c r="X147" s="14" t="s">
        <v>27</v>
      </c>
      <c r="Y147" s="14" t="s">
        <v>30</v>
      </c>
      <c r="Z147" s="14" t="s">
        <v>28</v>
      </c>
      <c r="AA147" s="14" t="s">
        <v>31</v>
      </c>
      <c r="AB147" s="14" t="s">
        <v>407</v>
      </c>
      <c r="AC147" s="14" t="s">
        <v>29</v>
      </c>
      <c r="AD147" s="14" t="s">
        <v>32</v>
      </c>
      <c r="AE147" s="14" t="s">
        <v>34</v>
      </c>
      <c r="AF147" s="14" t="s">
        <v>2</v>
      </c>
      <c r="AG147" s="14" t="s">
        <v>35</v>
      </c>
      <c r="AH147" s="14" t="s">
        <v>12</v>
      </c>
      <c r="AI147" s="14" t="s">
        <v>11</v>
      </c>
      <c r="AJ147" s="14" t="s">
        <v>406</v>
      </c>
      <c r="AK147" s="14" t="s">
        <v>406</v>
      </c>
      <c r="AL147" s="14" t="s">
        <v>406</v>
      </c>
      <c r="AM147" s="14" t="s">
        <v>406</v>
      </c>
      <c r="AN147" s="14" t="s">
        <v>406</v>
      </c>
      <c r="AO147" s="14" t="s">
        <v>406</v>
      </c>
      <c r="AP147" s="14" t="s">
        <v>406</v>
      </c>
      <c r="AQ147" s="14" t="s">
        <v>406</v>
      </c>
      <c r="AR147" s="14" t="s">
        <v>3</v>
      </c>
      <c r="AS147" s="14" t="s">
        <v>0</v>
      </c>
      <c r="AT147" s="14" t="s">
        <v>36</v>
      </c>
      <c r="AU147" s="14" t="s">
        <v>1</v>
      </c>
    </row>
    <row r="148" spans="10:47" x14ac:dyDescent="0.2">
      <c r="J148" s="13" t="s">
        <v>661</v>
      </c>
      <c r="K148" s="14" t="s">
        <v>404</v>
      </c>
      <c r="L148" s="14" t="s">
        <v>404</v>
      </c>
      <c r="M148" s="14" t="s">
        <v>404</v>
      </c>
      <c r="N148" s="14" t="s">
        <v>404</v>
      </c>
      <c r="O148" s="14" t="s">
        <v>404</v>
      </c>
      <c r="P148" s="14" t="s">
        <v>404</v>
      </c>
      <c r="Q148" s="14" t="s">
        <v>404</v>
      </c>
      <c r="R148" s="14" t="s">
        <v>404</v>
      </c>
      <c r="S148" s="14" t="s">
        <v>404</v>
      </c>
      <c r="T148" s="14" t="s">
        <v>404</v>
      </c>
      <c r="U148" s="14" t="s">
        <v>405</v>
      </c>
      <c r="V148" s="14" t="s">
        <v>405</v>
      </c>
      <c r="W148" s="14" t="s">
        <v>405</v>
      </c>
      <c r="X148" s="14" t="s">
        <v>405</v>
      </c>
      <c r="Y148" s="14" t="s">
        <v>405</v>
      </c>
      <c r="Z148" s="14" t="s">
        <v>405</v>
      </c>
      <c r="AA148" s="14" t="s">
        <v>405</v>
      </c>
      <c r="AB148" s="14" t="s">
        <v>405</v>
      </c>
      <c r="AC148" s="14" t="s">
        <v>405</v>
      </c>
      <c r="AD148" s="14" t="s">
        <v>405</v>
      </c>
      <c r="AE148" s="14" t="s">
        <v>405</v>
      </c>
      <c r="AF148" s="14" t="s">
        <v>405</v>
      </c>
      <c r="AG148" s="14" t="s">
        <v>405</v>
      </c>
      <c r="AH148" s="14" t="s">
        <v>405</v>
      </c>
      <c r="AI148" s="14" t="s">
        <v>405</v>
      </c>
      <c r="AJ148" s="14" t="s">
        <v>592</v>
      </c>
      <c r="AK148" s="14" t="s">
        <v>592</v>
      </c>
      <c r="AL148" s="14" t="s">
        <v>592</v>
      </c>
      <c r="AM148" s="14" t="s">
        <v>592</v>
      </c>
      <c r="AN148" s="14" t="s">
        <v>592</v>
      </c>
      <c r="AO148" s="14" t="s">
        <v>592</v>
      </c>
      <c r="AP148" s="14" t="s">
        <v>592</v>
      </c>
      <c r="AQ148" s="14" t="s">
        <v>592</v>
      </c>
      <c r="AR148" s="14" t="s">
        <v>592</v>
      </c>
      <c r="AS148" s="14" t="s">
        <v>623</v>
      </c>
      <c r="AT148" s="14" t="s">
        <v>623</v>
      </c>
      <c r="AU148" s="14" t="s">
        <v>623</v>
      </c>
    </row>
    <row r="149" spans="10:47" x14ac:dyDescent="0.2">
      <c r="J149" s="13" t="s">
        <v>662</v>
      </c>
      <c r="K149" s="14">
        <v>2</v>
      </c>
      <c r="L149" s="14">
        <v>4</v>
      </c>
      <c r="M149" s="14">
        <v>2</v>
      </c>
      <c r="N149" s="14">
        <v>2</v>
      </c>
      <c r="O149" s="14">
        <v>2</v>
      </c>
      <c r="P149" s="14">
        <v>2</v>
      </c>
      <c r="Q149" s="14">
        <v>4</v>
      </c>
      <c r="R149" s="14">
        <v>2</v>
      </c>
      <c r="S149" s="14">
        <v>2</v>
      </c>
      <c r="T149" s="14">
        <v>2</v>
      </c>
      <c r="U149" s="14">
        <v>3</v>
      </c>
      <c r="V149" s="14">
        <v>2</v>
      </c>
      <c r="W149" s="14">
        <v>2</v>
      </c>
      <c r="X149" s="14">
        <v>2</v>
      </c>
      <c r="Y149" s="14">
        <v>2</v>
      </c>
      <c r="Z149" s="14">
        <v>2</v>
      </c>
      <c r="AA149" s="14">
        <v>2</v>
      </c>
      <c r="AB149" s="14">
        <v>2</v>
      </c>
      <c r="AC149" s="14">
        <v>2</v>
      </c>
      <c r="AD149" s="14">
        <v>2</v>
      </c>
      <c r="AE149" s="14">
        <v>2</v>
      </c>
      <c r="AF149" s="14">
        <v>2</v>
      </c>
      <c r="AG149" s="14">
        <v>2</v>
      </c>
      <c r="AH149" s="14">
        <v>2</v>
      </c>
      <c r="AI149" s="14">
        <v>2</v>
      </c>
      <c r="AJ149" s="14">
        <v>9</v>
      </c>
      <c r="AK149" s="14">
        <v>8</v>
      </c>
      <c r="AL149" s="14">
        <v>7</v>
      </c>
      <c r="AM149" s="14">
        <v>6</v>
      </c>
      <c r="AN149" s="14">
        <v>5</v>
      </c>
      <c r="AO149" s="14">
        <v>4</v>
      </c>
      <c r="AP149" s="14">
        <v>3</v>
      </c>
      <c r="AQ149" s="14">
        <v>2</v>
      </c>
      <c r="AR149" s="14">
        <f>Data_NumDG-1</f>
        <v>3</v>
      </c>
      <c r="AS149" s="14" t="s">
        <v>573</v>
      </c>
      <c r="AT149" s="14" t="s">
        <v>573</v>
      </c>
      <c r="AU149" s="14" t="s">
        <v>573</v>
      </c>
    </row>
    <row r="150" spans="10:47" x14ac:dyDescent="0.2"/>
    <row r="151" spans="10:47" x14ac:dyDescent="0.2"/>
    <row r="152" spans="10:47" x14ac:dyDescent="0.2"/>
    <row r="153" spans="10:47" x14ac:dyDescent="0.2"/>
    <row r="154" spans="10:47" x14ac:dyDescent="0.2"/>
    <row r="155" spans="10:47" x14ac:dyDescent="0.2"/>
    <row r="156" spans="10:47" x14ac:dyDescent="0.2"/>
    <row r="157" spans="10:47" x14ac:dyDescent="0.2"/>
    <row r="158" spans="10:47" x14ac:dyDescent="0.2"/>
    <row r="159" spans="10:47" x14ac:dyDescent="0.2"/>
    <row r="160" spans="10:47" x14ac:dyDescent="0.2"/>
  </sheetData>
  <mergeCells count="5">
    <mergeCell ref="K7:T7"/>
    <mergeCell ref="AS7:AU7"/>
    <mergeCell ref="AJ7:AR7"/>
    <mergeCell ref="U7:AI7"/>
    <mergeCell ref="E10:H12"/>
  </mergeCells>
  <pageMargins left="0.75" right="0.75" top="1" bottom="1" header="0.5" footer="0.5"/>
  <pageSetup orientation="portrait" r:id="rId1"/>
  <headerFooter alignWithMargins="0"/>
  <legacy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enableFormatConditionsCalculation="0">
    <tabColor indexed="44"/>
  </sheetPr>
  <dimension ref="A1:N160"/>
  <sheetViews>
    <sheetView zoomScaleNormal="100" workbookViewId="0">
      <pane ySplit="5" topLeftCell="A6" activePane="bottomLeft" state="frozen"/>
      <selection pane="bottomLeft"/>
    </sheetView>
  </sheetViews>
  <sheetFormatPr defaultColWidth="0" defaultRowHeight="12.75" zeroHeight="1" x14ac:dyDescent="0.2"/>
  <cols>
    <col min="1" max="1" width="4.28515625" style="6" customWidth="1"/>
    <col min="2" max="2" width="20.7109375" style="6" customWidth="1"/>
    <col min="3" max="3" width="30.28515625" style="6" customWidth="1"/>
    <col min="4" max="4" width="12.28515625" style="6" customWidth="1"/>
    <col min="5" max="8" width="9.140625" style="6" customWidth="1"/>
    <col min="9" max="9" width="14.5703125" style="6" customWidth="1"/>
    <col min="10" max="14" width="9.140625" style="6" customWidth="1"/>
    <col min="15" max="16384" width="9.140625" style="6" hidden="1"/>
  </cols>
  <sheetData>
    <row r="1" spans="2:9" s="1" customFormat="1" ht="11.25" customHeight="1" x14ac:dyDescent="0.2"/>
    <row r="2" spans="2:9" s="1" customFormat="1" ht="18" x14ac:dyDescent="0.25">
      <c r="B2" s="10" t="s">
        <v>562</v>
      </c>
    </row>
    <row r="3" spans="2:9" s="1" customFormat="1" ht="11.25" customHeight="1" x14ac:dyDescent="0.2"/>
    <row r="4" spans="2:9" s="1" customFormat="1" ht="12.75" customHeight="1" x14ac:dyDescent="0.2">
      <c r="B4" s="1" t="s">
        <v>543</v>
      </c>
    </row>
    <row r="5" spans="2:9" s="11" customFormat="1" ht="11.25" customHeight="1" thickBot="1" x14ac:dyDescent="0.25"/>
    <row r="6" spans="2:9" ht="13.5" thickTop="1" x14ac:dyDescent="0.2"/>
    <row r="7" spans="2:9" x14ac:dyDescent="0.2">
      <c r="B7" s="8" t="s">
        <v>4</v>
      </c>
      <c r="C7" s="61" t="s">
        <v>916</v>
      </c>
    </row>
    <row r="8" spans="2:9" ht="12.75" customHeight="1" x14ac:dyDescent="0.2"/>
    <row r="9" spans="2:9" x14ac:dyDescent="0.2">
      <c r="B9" s="12" t="s">
        <v>675</v>
      </c>
    </row>
    <row r="10" spans="2:9" ht="38.25" x14ac:dyDescent="0.2">
      <c r="B10" s="9" t="s">
        <v>395</v>
      </c>
      <c r="C10" s="9" t="s">
        <v>396</v>
      </c>
      <c r="D10" s="9" t="s">
        <v>397</v>
      </c>
      <c r="E10" s="9" t="s">
        <v>557</v>
      </c>
      <c r="F10" s="9" t="s">
        <v>5</v>
      </c>
      <c r="G10" s="9" t="s">
        <v>6</v>
      </c>
      <c r="H10" s="9" t="s">
        <v>7</v>
      </c>
      <c r="I10" s="9" t="s">
        <v>679</v>
      </c>
    </row>
    <row r="11" spans="2:9" x14ac:dyDescent="0.2">
      <c r="B11" s="13" t="s">
        <v>181</v>
      </c>
      <c r="C11" s="13"/>
      <c r="D11" s="13"/>
      <c r="E11" s="13"/>
      <c r="F11" s="13"/>
      <c r="G11" s="13"/>
      <c r="H11" s="13"/>
      <c r="I11" s="13"/>
    </row>
    <row r="12" spans="2:9" x14ac:dyDescent="0.2">
      <c r="B12" s="13" t="s">
        <v>182</v>
      </c>
      <c r="C12" s="13"/>
      <c r="D12" s="13"/>
      <c r="E12" s="13"/>
      <c r="F12" s="13"/>
      <c r="G12" s="13"/>
      <c r="H12" s="13"/>
      <c r="I12" s="13"/>
    </row>
    <row r="13" spans="2:9" x14ac:dyDescent="0.2">
      <c r="B13" s="13" t="s">
        <v>183</v>
      </c>
      <c r="C13" s="13"/>
      <c r="D13" s="13"/>
      <c r="E13" s="13"/>
      <c r="F13" s="13"/>
      <c r="G13" s="13"/>
      <c r="H13" s="13"/>
      <c r="I13" s="13"/>
    </row>
    <row r="14" spans="2:9" x14ac:dyDescent="0.2">
      <c r="B14" s="13" t="s">
        <v>9</v>
      </c>
      <c r="C14" s="13" t="s">
        <v>184</v>
      </c>
      <c r="D14" s="13"/>
      <c r="E14" s="13"/>
      <c r="F14" s="13"/>
      <c r="G14" s="13"/>
      <c r="H14" s="13"/>
      <c r="I14" s="13"/>
    </row>
    <row r="15" spans="2:9" x14ac:dyDescent="0.2">
      <c r="B15" s="13" t="s">
        <v>9</v>
      </c>
      <c r="C15" s="13" t="s">
        <v>9</v>
      </c>
      <c r="D15" s="13" t="s">
        <v>185</v>
      </c>
      <c r="E15" s="7" t="str">
        <f t="shared" ref="E15:E26" ca="1" si="0">IF(ISBLANK(INDIRECT(CurrentColumn&amp;$I15)),"",INDIRECT(CurrentColumn&amp;$I15))</f>
        <v/>
      </c>
      <c r="F15" s="13"/>
      <c r="G15" s="13"/>
      <c r="H15" s="13" t="s">
        <v>186</v>
      </c>
      <c r="I15" s="7">
        <f>ROW(Main!C41)</f>
        <v>41</v>
      </c>
    </row>
    <row r="16" spans="2:9" x14ac:dyDescent="0.2">
      <c r="B16" s="13" t="s">
        <v>9</v>
      </c>
      <c r="C16" s="13" t="s">
        <v>9</v>
      </c>
      <c r="D16" s="13" t="s">
        <v>70</v>
      </c>
      <c r="E16" s="7" t="str">
        <f t="shared" ca="1" si="0"/>
        <v>Dose</v>
      </c>
      <c r="F16" s="13"/>
      <c r="G16" s="13"/>
      <c r="H16" s="13" t="s">
        <v>71</v>
      </c>
      <c r="I16" s="7">
        <f>I15+1</f>
        <v>42</v>
      </c>
    </row>
    <row r="17" spans="2:9" x14ac:dyDescent="0.2">
      <c r="B17" s="13" t="s">
        <v>9</v>
      </c>
      <c r="C17" s="13" t="s">
        <v>9</v>
      </c>
      <c r="D17" s="13" t="s">
        <v>72</v>
      </c>
      <c r="E17" s="7" t="str">
        <f t="shared" ca="1" si="0"/>
        <v>NumAnimals</v>
      </c>
      <c r="F17" s="13"/>
      <c r="G17" s="13"/>
      <c r="H17" s="13" t="s">
        <v>73</v>
      </c>
      <c r="I17" s="7">
        <f t="shared" ref="I17:I26" si="1">I16+1</f>
        <v>43</v>
      </c>
    </row>
    <row r="18" spans="2:9" x14ac:dyDescent="0.2">
      <c r="B18" s="13" t="s">
        <v>9</v>
      </c>
      <c r="C18" s="13" t="s">
        <v>9</v>
      </c>
      <c r="D18" s="13" t="s">
        <v>74</v>
      </c>
      <c r="E18" s="7" t="str">
        <f t="shared" ca="1" si="0"/>
        <v/>
      </c>
      <c r="F18" s="13"/>
      <c r="G18" s="13"/>
      <c r="H18" s="13" t="s">
        <v>75</v>
      </c>
      <c r="I18" s="7">
        <f t="shared" si="1"/>
        <v>44</v>
      </c>
    </row>
    <row r="19" spans="2:9" x14ac:dyDescent="0.2">
      <c r="B19" s="13" t="s">
        <v>9</v>
      </c>
      <c r="C19" s="13" t="s">
        <v>9</v>
      </c>
      <c r="D19" s="13" t="s">
        <v>76</v>
      </c>
      <c r="E19" s="7" t="str">
        <f t="shared" ca="1" si="0"/>
        <v/>
      </c>
      <c r="F19" s="13"/>
      <c r="G19" s="13"/>
      <c r="H19" s="13" t="s">
        <v>77</v>
      </c>
      <c r="I19" s="7">
        <f t="shared" si="1"/>
        <v>45</v>
      </c>
    </row>
    <row r="20" spans="2:9" x14ac:dyDescent="0.2">
      <c r="B20" s="13" t="s">
        <v>9</v>
      </c>
      <c r="C20" s="13" t="s">
        <v>9</v>
      </c>
      <c r="D20" s="13" t="s">
        <v>78</v>
      </c>
      <c r="E20" s="7" t="str">
        <f t="shared" ca="1" si="0"/>
        <v/>
      </c>
      <c r="F20" s="13"/>
      <c r="G20" s="13"/>
      <c r="H20" s="13" t="s">
        <v>79</v>
      </c>
      <c r="I20" s="7">
        <f t="shared" si="1"/>
        <v>46</v>
      </c>
    </row>
    <row r="21" spans="2:9" x14ac:dyDescent="0.2">
      <c r="B21" s="13" t="s">
        <v>9</v>
      </c>
      <c r="C21" s="13" t="s">
        <v>9</v>
      </c>
      <c r="D21" s="13" t="s">
        <v>81</v>
      </c>
      <c r="E21" s="7" t="str">
        <f t="shared" ca="1" si="0"/>
        <v>Incidence</v>
      </c>
      <c r="F21" s="13"/>
      <c r="G21" s="13"/>
      <c r="H21" s="13" t="s">
        <v>90</v>
      </c>
      <c r="I21" s="7">
        <f t="shared" si="1"/>
        <v>47</v>
      </c>
    </row>
    <row r="22" spans="2:9" x14ac:dyDescent="0.2">
      <c r="B22" s="13" t="s">
        <v>9</v>
      </c>
      <c r="C22" s="13" t="s">
        <v>9</v>
      </c>
      <c r="D22" s="13" t="s">
        <v>82</v>
      </c>
      <c r="E22" s="7" t="str">
        <f t="shared" ca="1" si="0"/>
        <v/>
      </c>
      <c r="F22" s="13"/>
      <c r="G22" s="13"/>
      <c r="H22" s="13" t="s">
        <v>89</v>
      </c>
      <c r="I22" s="7">
        <f t="shared" si="1"/>
        <v>48</v>
      </c>
    </row>
    <row r="23" spans="2:9" x14ac:dyDescent="0.2">
      <c r="B23" s="13" t="s">
        <v>9</v>
      </c>
      <c r="C23" s="13" t="s">
        <v>9</v>
      </c>
      <c r="D23" s="13" t="s">
        <v>83</v>
      </c>
      <c r="E23" s="7" t="str">
        <f t="shared" ca="1" si="0"/>
        <v/>
      </c>
      <c r="F23" s="13"/>
      <c r="G23" s="13"/>
      <c r="H23" s="13" t="s">
        <v>88</v>
      </c>
      <c r="I23" s="7">
        <f t="shared" si="1"/>
        <v>49</v>
      </c>
    </row>
    <row r="24" spans="2:9" x14ac:dyDescent="0.2">
      <c r="B24" s="13" t="s">
        <v>9</v>
      </c>
      <c r="C24" s="13" t="s">
        <v>9</v>
      </c>
      <c r="D24" s="13" t="s">
        <v>84</v>
      </c>
      <c r="E24" s="7" t="str">
        <f t="shared" ca="1" si="0"/>
        <v/>
      </c>
      <c r="F24" s="13"/>
      <c r="G24" s="13"/>
      <c r="H24" s="13" t="s">
        <v>87</v>
      </c>
      <c r="I24" s="7">
        <f t="shared" si="1"/>
        <v>50</v>
      </c>
    </row>
    <row r="25" spans="2:9" x14ac:dyDescent="0.2">
      <c r="B25" s="13" t="s">
        <v>9</v>
      </c>
      <c r="C25" s="13" t="s">
        <v>9</v>
      </c>
      <c r="D25" s="13" t="s">
        <v>85</v>
      </c>
      <c r="E25" s="7" t="str">
        <f t="shared" ca="1" si="0"/>
        <v/>
      </c>
      <c r="F25" s="13"/>
      <c r="G25" s="13"/>
      <c r="H25" s="13" t="s">
        <v>86</v>
      </c>
      <c r="I25" s="7">
        <f t="shared" si="1"/>
        <v>51</v>
      </c>
    </row>
    <row r="26" spans="2:9" x14ac:dyDescent="0.2">
      <c r="B26" s="13" t="s">
        <v>9</v>
      </c>
      <c r="C26" s="13" t="s">
        <v>9</v>
      </c>
      <c r="D26" s="13" t="s">
        <v>187</v>
      </c>
      <c r="E26" s="7" t="str">
        <f t="shared" ca="1" si="0"/>
        <v/>
      </c>
      <c r="F26" s="13"/>
      <c r="G26" s="13"/>
      <c r="H26" s="13" t="s">
        <v>188</v>
      </c>
      <c r="I26" s="7">
        <f t="shared" si="1"/>
        <v>52</v>
      </c>
    </row>
    <row r="27" spans="2:9" x14ac:dyDescent="0.2">
      <c r="B27" s="13" t="s">
        <v>9</v>
      </c>
      <c r="C27" s="13" t="s">
        <v>189</v>
      </c>
      <c r="D27" s="13"/>
      <c r="E27" s="13"/>
      <c r="F27" s="13"/>
      <c r="G27" s="13"/>
      <c r="H27" s="13"/>
      <c r="I27" s="13"/>
    </row>
    <row r="28" spans="2:9" x14ac:dyDescent="0.2">
      <c r="B28" s="13" t="s">
        <v>9</v>
      </c>
      <c r="C28" s="13" t="s">
        <v>190</v>
      </c>
      <c r="D28" s="13"/>
      <c r="E28" s="13"/>
      <c r="F28" s="13"/>
      <c r="G28" s="13"/>
      <c r="H28" s="13"/>
      <c r="I28" s="13"/>
    </row>
    <row r="29" spans="2:9" x14ac:dyDescent="0.2">
      <c r="B29" s="13" t="s">
        <v>9</v>
      </c>
      <c r="C29" s="13" t="s">
        <v>9</v>
      </c>
      <c r="D29" s="13" t="s">
        <v>280</v>
      </c>
      <c r="E29" s="7" t="str">
        <f t="shared" ref="E29:E35" ca="1" si="2">IF(ISBLANK(INDIRECT(CurrentColumn&amp;$I29)),"",INDIRECT(CurrentColumn&amp;$I29))</f>
        <v>Normal</v>
      </c>
      <c r="F29" s="13"/>
      <c r="G29" s="13"/>
      <c r="H29" s="13" t="s">
        <v>276</v>
      </c>
      <c r="I29" s="7">
        <f>I26+1</f>
        <v>53</v>
      </c>
    </row>
    <row r="30" spans="2:9" x14ac:dyDescent="0.2">
      <c r="B30" s="13" t="s">
        <v>9</v>
      </c>
      <c r="C30" s="13" t="s">
        <v>9</v>
      </c>
      <c r="D30" s="13" t="s">
        <v>281</v>
      </c>
      <c r="E30" s="7" t="str">
        <f t="shared" ca="1" si="2"/>
        <v>Exact</v>
      </c>
      <c r="F30" s="13"/>
      <c r="G30" s="13"/>
      <c r="H30" s="13" t="s">
        <v>277</v>
      </c>
      <c r="I30" s="7">
        <f>I29+1</f>
        <v>54</v>
      </c>
    </row>
    <row r="31" spans="2:9" x14ac:dyDescent="0.2">
      <c r="B31" s="13" t="s">
        <v>9</v>
      </c>
      <c r="C31" s="13" t="s">
        <v>9</v>
      </c>
      <c r="D31" s="13" t="s">
        <v>282</v>
      </c>
      <c r="E31" s="7">
        <f t="shared" ca="1" si="2"/>
        <v>0</v>
      </c>
      <c r="F31" s="13"/>
      <c r="G31" s="13"/>
      <c r="H31" s="13" t="s">
        <v>278</v>
      </c>
      <c r="I31" s="7">
        <f t="shared" ref="I31:I74" si="3">I30+1</f>
        <v>55</v>
      </c>
    </row>
    <row r="32" spans="2:9" x14ac:dyDescent="0.2">
      <c r="B32" s="13" t="s">
        <v>9</v>
      </c>
      <c r="C32" s="13" t="s">
        <v>9</v>
      </c>
      <c r="D32" s="13" t="s">
        <v>283</v>
      </c>
      <c r="E32" s="7">
        <f t="shared" ca="1" si="2"/>
        <v>0</v>
      </c>
      <c r="F32" s="13"/>
      <c r="G32" s="13"/>
      <c r="H32" s="13" t="s">
        <v>279</v>
      </c>
      <c r="I32" s="7">
        <f t="shared" si="3"/>
        <v>56</v>
      </c>
    </row>
    <row r="33" spans="2:9" x14ac:dyDescent="0.2">
      <c r="B33" s="13" t="s">
        <v>9</v>
      </c>
      <c r="C33" s="13" t="s">
        <v>9</v>
      </c>
      <c r="D33" s="13" t="s">
        <v>132</v>
      </c>
      <c r="E33" s="7" t="str">
        <f t="shared" ca="1" si="2"/>
        <v>Extra</v>
      </c>
      <c r="F33" s="13"/>
      <c r="G33" s="13"/>
      <c r="H33" s="13" t="s">
        <v>133</v>
      </c>
      <c r="I33" s="7">
        <f t="shared" si="3"/>
        <v>57</v>
      </c>
    </row>
    <row r="34" spans="2:9" x14ac:dyDescent="0.2">
      <c r="B34" s="13" t="s">
        <v>9</v>
      </c>
      <c r="C34" s="13" t="s">
        <v>9</v>
      </c>
      <c r="D34" s="13" t="s">
        <v>284</v>
      </c>
      <c r="E34" s="7">
        <f t="shared" ca="1" si="2"/>
        <v>0.1</v>
      </c>
      <c r="F34" s="13"/>
      <c r="G34" s="13"/>
      <c r="H34" s="13" t="s">
        <v>134</v>
      </c>
      <c r="I34" s="7">
        <f t="shared" si="3"/>
        <v>58</v>
      </c>
    </row>
    <row r="35" spans="2:9" x14ac:dyDescent="0.2">
      <c r="B35" s="13" t="s">
        <v>9</v>
      </c>
      <c r="C35" s="13" t="s">
        <v>9</v>
      </c>
      <c r="D35" s="13" t="s">
        <v>135</v>
      </c>
      <c r="E35" s="7">
        <f t="shared" ca="1" si="2"/>
        <v>0.95</v>
      </c>
      <c r="F35" s="13"/>
      <c r="G35" s="13"/>
      <c r="H35" s="13" t="s">
        <v>136</v>
      </c>
      <c r="I35" s="7">
        <f t="shared" si="3"/>
        <v>59</v>
      </c>
    </row>
    <row r="36" spans="2:9" x14ac:dyDescent="0.2">
      <c r="B36" s="13" t="s">
        <v>9</v>
      </c>
      <c r="C36" s="13" t="s">
        <v>9</v>
      </c>
      <c r="D36" s="13" t="s">
        <v>137</v>
      </c>
      <c r="E36" s="7">
        <f ca="1">IF(ISBLANK(INDIRECT(CurrentColumn&amp;$I36)),"",IF(INDIRECT(CurrentColumn&amp;$I36)=TRUE,1,0))</f>
        <v>1</v>
      </c>
      <c r="F36" s="13"/>
      <c r="G36" s="13"/>
      <c r="H36" s="13" t="s">
        <v>138</v>
      </c>
      <c r="I36" s="7">
        <f t="shared" si="3"/>
        <v>60</v>
      </c>
    </row>
    <row r="37" spans="2:9" x14ac:dyDescent="0.2">
      <c r="B37" s="13" t="s">
        <v>9</v>
      </c>
      <c r="C37" s="13" t="s">
        <v>9</v>
      </c>
      <c r="D37" s="13" t="s">
        <v>139</v>
      </c>
      <c r="E37" s="7">
        <f ca="1">IF(ISBLANK(INDIRECT(CurrentColumn&amp;$I37)),"",IF(INDIRECT(CurrentColumn&amp;$I37)=TRUE,1,0))</f>
        <v>0</v>
      </c>
      <c r="F37" s="13"/>
      <c r="G37" s="13"/>
      <c r="H37" s="13" t="s">
        <v>140</v>
      </c>
      <c r="I37" s="7">
        <f t="shared" si="3"/>
        <v>61</v>
      </c>
    </row>
    <row r="38" spans="2:9" x14ac:dyDescent="0.2">
      <c r="B38" s="13" t="s">
        <v>9</v>
      </c>
      <c r="C38" s="13" t="s">
        <v>9</v>
      </c>
      <c r="D38" s="13" t="s">
        <v>141</v>
      </c>
      <c r="E38" s="7" t="str">
        <f ca="1">IF(ISBLANK(INDIRECT(CurrentColumn&amp;$I38)),"",INDIRECT(CurrentColumn&amp;$I38))</f>
        <v/>
      </c>
      <c r="F38" s="13"/>
      <c r="G38" s="13"/>
      <c r="H38" s="13" t="s">
        <v>142</v>
      </c>
      <c r="I38" s="7">
        <f t="shared" si="3"/>
        <v>62</v>
      </c>
    </row>
    <row r="39" spans="2:9" x14ac:dyDescent="0.2">
      <c r="B39" s="13" t="s">
        <v>9</v>
      </c>
      <c r="C39" s="13" t="s">
        <v>9</v>
      </c>
      <c r="D39" s="13" t="s">
        <v>144</v>
      </c>
      <c r="E39" s="7">
        <f ca="1">IF(ISBLANK(INDIRECT(CurrentColumn&amp;$I39)),"",IF(INDIRECT(CurrentColumn&amp;$I39)=TRUE,1,0))</f>
        <v>0</v>
      </c>
      <c r="F39" s="13"/>
      <c r="G39" s="13"/>
      <c r="H39" s="13" t="s">
        <v>145</v>
      </c>
      <c r="I39" s="7">
        <f t="shared" si="3"/>
        <v>63</v>
      </c>
    </row>
    <row r="40" spans="2:9" x14ac:dyDescent="0.2">
      <c r="B40" s="13" t="s">
        <v>9</v>
      </c>
      <c r="C40" s="13" t="s">
        <v>9</v>
      </c>
      <c r="D40" s="13" t="s">
        <v>146</v>
      </c>
      <c r="E40" s="7">
        <f ca="1">IF(ISBLANK(INDIRECT(CurrentColumn&amp;$I40)),"",IF(INDIRECT(CurrentColumn&amp;$I40)=TRUE,1,0))</f>
        <v>0</v>
      </c>
      <c r="F40" s="13"/>
      <c r="G40" s="13"/>
      <c r="H40" s="13" t="s">
        <v>147</v>
      </c>
      <c r="I40" s="7">
        <f t="shared" si="3"/>
        <v>64</v>
      </c>
    </row>
    <row r="41" spans="2:9" x14ac:dyDescent="0.2">
      <c r="B41" s="13"/>
      <c r="C41" s="13"/>
      <c r="D41" s="13" t="s">
        <v>547</v>
      </c>
      <c r="E41" s="7" t="str">
        <f ca="1">IF(ISBLANK(INDIRECT(CurrentColumn&amp;$I41)),"",INDIRECT(CurrentColumn&amp;$I41))</f>
        <v/>
      </c>
      <c r="F41" s="13"/>
      <c r="G41" s="13"/>
      <c r="H41" s="13" t="s">
        <v>548</v>
      </c>
      <c r="I41" s="7">
        <f t="shared" si="3"/>
        <v>65</v>
      </c>
    </row>
    <row r="42" spans="2:9" x14ac:dyDescent="0.2">
      <c r="B42" s="13" t="s">
        <v>9</v>
      </c>
      <c r="C42" s="13" t="s">
        <v>9</v>
      </c>
      <c r="D42" s="13" t="s">
        <v>148</v>
      </c>
      <c r="E42" s="7">
        <f ca="1">IF(ISBLANK(INDIRECT(CurrentColumn&amp;$I42)),"",IF(INDIRECT(CurrentColumn&amp;$I42)=TRUE,1,0))</f>
        <v>1</v>
      </c>
      <c r="F42" s="13"/>
      <c r="G42" s="13"/>
      <c r="H42" s="13" t="s">
        <v>149</v>
      </c>
      <c r="I42" s="7">
        <f t="shared" si="3"/>
        <v>66</v>
      </c>
    </row>
    <row r="43" spans="2:9" x14ac:dyDescent="0.2">
      <c r="B43" s="13" t="s">
        <v>9</v>
      </c>
      <c r="C43" s="13" t="s">
        <v>9</v>
      </c>
      <c r="D43" s="13" t="s">
        <v>150</v>
      </c>
      <c r="E43" s="7">
        <f ca="1">IF(ISBLANK(INDIRECT(CurrentColumn&amp;$I43)),"",IF(INDIRECT(CurrentColumn&amp;$I43)=TRUE,1,0))</f>
        <v>1</v>
      </c>
      <c r="F43" s="13"/>
      <c r="G43" s="13"/>
      <c r="H43" s="13" t="s">
        <v>151</v>
      </c>
      <c r="I43" s="7">
        <f t="shared" si="3"/>
        <v>67</v>
      </c>
    </row>
    <row r="44" spans="2:9" x14ac:dyDescent="0.2">
      <c r="B44" s="13" t="s">
        <v>9</v>
      </c>
      <c r="C44" s="13" t="s">
        <v>9</v>
      </c>
      <c r="D44" s="13" t="s">
        <v>152</v>
      </c>
      <c r="E44" s="7">
        <f ca="1">IF(ISBLANK(INDIRECT(CurrentColumn&amp;$I44)),"",IF(INDIRECT(CurrentColumn&amp;$I44)=TRUE,1,0))</f>
        <v>1</v>
      </c>
      <c r="F44" s="13"/>
      <c r="G44" s="13"/>
      <c r="H44" s="13" t="s">
        <v>153</v>
      </c>
      <c r="I44" s="7">
        <f t="shared" si="3"/>
        <v>68</v>
      </c>
    </row>
    <row r="45" spans="2:9" x14ac:dyDescent="0.2">
      <c r="B45" s="13" t="s">
        <v>9</v>
      </c>
      <c r="C45" s="13" t="s">
        <v>9</v>
      </c>
      <c r="D45" s="13" t="s">
        <v>155</v>
      </c>
      <c r="E45" s="7">
        <f ca="1">IF(ISBLANK(INDIRECT(CurrentColumn&amp;$I45)),"",IF(INDIRECT(CurrentColumn&amp;$I45)=TRUE,1,0))</f>
        <v>0</v>
      </c>
      <c r="F45" s="13"/>
      <c r="G45" s="13"/>
      <c r="H45" s="13" t="s">
        <v>156</v>
      </c>
      <c r="I45" s="7">
        <f t="shared" si="3"/>
        <v>69</v>
      </c>
    </row>
    <row r="46" spans="2:9" x14ac:dyDescent="0.2">
      <c r="B46" s="13" t="s">
        <v>9</v>
      </c>
      <c r="C46" s="13" t="s">
        <v>9</v>
      </c>
      <c r="D46" s="13" t="s">
        <v>157</v>
      </c>
      <c r="E46" s="7">
        <f ca="1">IF(ISBLANK(INDIRECT(CurrentColumn&amp;$I46)),"",INDIRECT(CurrentColumn&amp;$I46))</f>
        <v>1</v>
      </c>
      <c r="F46" s="13"/>
      <c r="G46" s="13"/>
      <c r="H46" s="13" t="s">
        <v>158</v>
      </c>
      <c r="I46" s="7">
        <f t="shared" si="3"/>
        <v>70</v>
      </c>
    </row>
    <row r="47" spans="2:9" x14ac:dyDescent="0.2">
      <c r="B47" s="13" t="s">
        <v>9</v>
      </c>
      <c r="C47" s="13" t="s">
        <v>9</v>
      </c>
      <c r="D47" s="13" t="s">
        <v>160</v>
      </c>
      <c r="E47" s="7">
        <f ca="1">IF(ISBLANK(INDIRECT(CurrentColumn&amp;$I47)),"",IF(INDIRECT(CurrentColumn&amp;$I47)=TRUE,1,0))</f>
        <v>0</v>
      </c>
      <c r="F47" s="13"/>
      <c r="G47" s="13"/>
      <c r="H47" s="13" t="s">
        <v>161</v>
      </c>
      <c r="I47" s="7">
        <f t="shared" si="3"/>
        <v>71</v>
      </c>
    </row>
    <row r="48" spans="2:9" x14ac:dyDescent="0.2">
      <c r="B48" s="13" t="s">
        <v>9</v>
      </c>
      <c r="C48" s="13" t="s">
        <v>9</v>
      </c>
      <c r="D48" s="13" t="s">
        <v>162</v>
      </c>
      <c r="E48" s="7" t="str">
        <f ca="1">IF(ISBLANK(INDIRECT(CurrentColumn&amp;$I48)),"",INDIRECT(CurrentColumn&amp;$I48))</f>
        <v>None</v>
      </c>
      <c r="F48" s="13"/>
      <c r="G48" s="13"/>
      <c r="H48" s="13" t="s">
        <v>163</v>
      </c>
      <c r="I48" s="7">
        <f t="shared" si="3"/>
        <v>72</v>
      </c>
    </row>
    <row r="49" spans="2:9" x14ac:dyDescent="0.2">
      <c r="B49" s="13" t="s">
        <v>9</v>
      </c>
      <c r="C49" s="13" t="s">
        <v>9</v>
      </c>
      <c r="D49" s="13" t="s">
        <v>164</v>
      </c>
      <c r="E49" s="7" t="str">
        <f ca="1">IF(ISBLANK(INDIRECT(CurrentColumn&amp;$I49)),"",INDIRECT(CurrentColumn&amp;$I49))</f>
        <v>Automatic</v>
      </c>
      <c r="F49" s="13"/>
      <c r="G49" s="13"/>
      <c r="H49" s="13" t="s">
        <v>165</v>
      </c>
      <c r="I49" s="7">
        <f t="shared" si="3"/>
        <v>73</v>
      </c>
    </row>
    <row r="50" spans="2:9" x14ac:dyDescent="0.2">
      <c r="B50" s="13" t="s">
        <v>9</v>
      </c>
      <c r="C50" s="13" t="s">
        <v>9</v>
      </c>
      <c r="D50" s="13" t="s">
        <v>285</v>
      </c>
      <c r="E50" s="7" t="str">
        <f ca="1">IF(ISBLANK(INDIRECT(CurrentColumn&amp;$I50)),"",INDIRECT(CurrentColumn&amp;$I50))</f>
        <v>Std. Dev.</v>
      </c>
      <c r="F50" s="13"/>
      <c r="G50" s="13"/>
      <c r="H50" s="13" t="s">
        <v>166</v>
      </c>
      <c r="I50" s="7">
        <f t="shared" si="3"/>
        <v>74</v>
      </c>
    </row>
    <row r="51" spans="2:9" x14ac:dyDescent="0.2">
      <c r="B51" s="13" t="s">
        <v>9</v>
      </c>
      <c r="C51" s="13" t="s">
        <v>9</v>
      </c>
      <c r="D51" s="13" t="s">
        <v>168</v>
      </c>
      <c r="E51" s="7">
        <f ca="1">IF(ISBLANK(INDIRECT(CurrentColumn&amp;$I51)),"",IF(INDIRECT(CurrentColumn&amp;$I51)=TRUE,1,0))</f>
        <v>1</v>
      </c>
      <c r="F51" s="13"/>
      <c r="G51" s="13"/>
      <c r="H51" s="13" t="s">
        <v>169</v>
      </c>
      <c r="I51" s="7">
        <f t="shared" si="3"/>
        <v>75</v>
      </c>
    </row>
    <row r="52" spans="2:9" x14ac:dyDescent="0.2">
      <c r="B52" s="13" t="s">
        <v>9</v>
      </c>
      <c r="C52" s="13" t="s">
        <v>9</v>
      </c>
      <c r="D52" s="13" t="s">
        <v>172</v>
      </c>
      <c r="E52" s="7" t="str">
        <f t="shared" ref="E52:E61" ca="1" si="4">IF(ISBLANK(INDIRECT(CurrentColumn&amp;$I52)),"",INDIRECT(CurrentColumn&amp;$I52))</f>
        <v>Overall Mean</v>
      </c>
      <c r="F52" s="13"/>
      <c r="G52" s="13"/>
      <c r="H52" s="13" t="s">
        <v>179</v>
      </c>
      <c r="I52" s="7">
        <f t="shared" si="3"/>
        <v>76</v>
      </c>
    </row>
    <row r="53" spans="2:9" x14ac:dyDescent="0.2">
      <c r="B53" s="13" t="s">
        <v>9</v>
      </c>
      <c r="C53" s="13" t="s">
        <v>9</v>
      </c>
      <c r="D53" s="13" t="s">
        <v>173</v>
      </c>
      <c r="E53" s="7" t="str">
        <f t="shared" ca="1" si="4"/>
        <v>Use</v>
      </c>
      <c r="F53" s="13"/>
      <c r="G53" s="13"/>
      <c r="H53" s="13" t="s">
        <v>178</v>
      </c>
      <c r="I53" s="7">
        <f t="shared" si="3"/>
        <v>77</v>
      </c>
    </row>
    <row r="54" spans="2:9" x14ac:dyDescent="0.2">
      <c r="B54" s="13" t="s">
        <v>9</v>
      </c>
      <c r="C54" s="13" t="s">
        <v>9</v>
      </c>
      <c r="D54" s="13" t="s">
        <v>174</v>
      </c>
      <c r="E54" s="7" t="str">
        <f t="shared" ca="1" si="4"/>
        <v>Estimate</v>
      </c>
      <c r="F54" s="13"/>
      <c r="G54" s="13"/>
      <c r="H54" s="13" t="s">
        <v>177</v>
      </c>
      <c r="I54" s="7">
        <f t="shared" si="3"/>
        <v>78</v>
      </c>
    </row>
    <row r="55" spans="2:9" x14ac:dyDescent="0.2">
      <c r="B55" s="13" t="s">
        <v>9</v>
      </c>
      <c r="C55" s="13" t="s">
        <v>9</v>
      </c>
      <c r="D55" s="13" t="s">
        <v>175</v>
      </c>
      <c r="E55" s="7" t="str">
        <f t="shared" ca="1" si="4"/>
        <v>BMDS Model Run</v>
      </c>
      <c r="F55" s="13"/>
      <c r="G55" s="13"/>
      <c r="H55" s="13" t="s">
        <v>176</v>
      </c>
      <c r="I55" s="7">
        <f t="shared" si="3"/>
        <v>79</v>
      </c>
    </row>
    <row r="56" spans="2:9" x14ac:dyDescent="0.2">
      <c r="B56" s="13" t="s">
        <v>9</v>
      </c>
      <c r="C56" s="13" t="s">
        <v>9</v>
      </c>
      <c r="D56" s="13" t="s">
        <v>286</v>
      </c>
      <c r="E56" s="7">
        <f t="shared" ca="1" si="4"/>
        <v>0.05</v>
      </c>
      <c r="F56" s="13"/>
      <c r="G56" s="13"/>
      <c r="H56" s="13" t="s">
        <v>304</v>
      </c>
      <c r="I56" s="7">
        <f t="shared" si="3"/>
        <v>80</v>
      </c>
    </row>
    <row r="57" spans="2:9" x14ac:dyDescent="0.2">
      <c r="B57" s="13" t="s">
        <v>9</v>
      </c>
      <c r="C57" s="13" t="s">
        <v>9</v>
      </c>
      <c r="D57" s="13" t="s">
        <v>287</v>
      </c>
      <c r="E57" s="7" t="str">
        <f t="shared" ca="1" si="4"/>
        <v>Lowertail</v>
      </c>
      <c r="F57" s="13"/>
      <c r="G57" s="13"/>
      <c r="H57" s="13" t="s">
        <v>305</v>
      </c>
      <c r="I57" s="7">
        <f t="shared" si="3"/>
        <v>81</v>
      </c>
    </row>
    <row r="58" spans="2:9" x14ac:dyDescent="0.2">
      <c r="B58" s="13" t="s">
        <v>9</v>
      </c>
      <c r="C58" s="13" t="s">
        <v>9</v>
      </c>
      <c r="D58" s="13" t="s">
        <v>288</v>
      </c>
      <c r="E58" s="7" t="str">
        <f t="shared" ca="1" si="4"/>
        <v>Background Rate</v>
      </c>
      <c r="F58" s="13"/>
      <c r="G58" s="13"/>
      <c r="H58" s="13" t="s">
        <v>303</v>
      </c>
      <c r="I58" s="7">
        <f t="shared" si="3"/>
        <v>82</v>
      </c>
    </row>
    <row r="59" spans="2:9" x14ac:dyDescent="0.2">
      <c r="B59" s="13" t="s">
        <v>9</v>
      </c>
      <c r="C59" s="13" t="s">
        <v>9</v>
      </c>
      <c r="D59" s="13" t="s">
        <v>289</v>
      </c>
      <c r="E59" s="7">
        <f t="shared" ca="1" si="4"/>
        <v>0.05</v>
      </c>
      <c r="F59" s="13"/>
      <c r="G59" s="13"/>
      <c r="H59" s="13" t="s">
        <v>302</v>
      </c>
      <c r="I59" s="7">
        <f t="shared" si="3"/>
        <v>83</v>
      </c>
    </row>
    <row r="60" spans="2:9" x14ac:dyDescent="0.2">
      <c r="B60" s="13" t="s">
        <v>9</v>
      </c>
      <c r="C60" s="13" t="s">
        <v>9</v>
      </c>
      <c r="D60" s="13" t="s">
        <v>290</v>
      </c>
      <c r="E60" s="7">
        <f t="shared" ca="1" si="4"/>
        <v>-9999</v>
      </c>
      <c r="F60" s="13"/>
      <c r="G60" s="13"/>
      <c r="H60" s="13" t="s">
        <v>301</v>
      </c>
      <c r="I60" s="7">
        <f t="shared" si="3"/>
        <v>84</v>
      </c>
    </row>
    <row r="61" spans="2:9" x14ac:dyDescent="0.2">
      <c r="B61" s="13" t="s">
        <v>9</v>
      </c>
      <c r="C61" s="13" t="s">
        <v>9</v>
      </c>
      <c r="D61" s="13" t="s">
        <v>291</v>
      </c>
      <c r="E61" s="7">
        <f t="shared" ca="1" si="4"/>
        <v>-9999</v>
      </c>
      <c r="F61" s="13"/>
      <c r="G61" s="13"/>
      <c r="H61" s="13" t="s">
        <v>300</v>
      </c>
      <c r="I61" s="7">
        <f t="shared" si="3"/>
        <v>85</v>
      </c>
    </row>
    <row r="62" spans="2:9" x14ac:dyDescent="0.2">
      <c r="B62" s="13" t="s">
        <v>9</v>
      </c>
      <c r="C62" s="13" t="s">
        <v>9</v>
      </c>
      <c r="D62" s="13" t="s">
        <v>292</v>
      </c>
      <c r="E62" s="7">
        <f ca="1">IF(ISBLANK(INDIRECT(CurrentColumn&amp;$I62)),"",IF(INDIRECT(CurrentColumn&amp;$I62)=TRUE,1,0))</f>
        <v>0</v>
      </c>
      <c r="F62" s="13"/>
      <c r="G62" s="13"/>
      <c r="H62" s="13" t="s">
        <v>299</v>
      </c>
      <c r="I62" s="7">
        <f t="shared" si="3"/>
        <v>86</v>
      </c>
    </row>
    <row r="63" spans="2:9" x14ac:dyDescent="0.2">
      <c r="B63" s="13" t="s">
        <v>9</v>
      </c>
      <c r="C63" s="13" t="s">
        <v>9</v>
      </c>
      <c r="D63" s="13" t="s">
        <v>295</v>
      </c>
      <c r="E63" s="7">
        <f ca="1">IF(ISBLANK(INDIRECT(CurrentColumn&amp;$I63)),"",INDIRECT(CurrentColumn&amp;$I63))</f>
        <v>0.05</v>
      </c>
      <c r="F63" s="13"/>
      <c r="G63" s="13"/>
      <c r="H63" s="13" t="s">
        <v>293</v>
      </c>
      <c r="I63" s="7">
        <f t="shared" si="3"/>
        <v>87</v>
      </c>
    </row>
    <row r="64" spans="2:9" x14ac:dyDescent="0.2">
      <c r="B64" s="13" t="s">
        <v>9</v>
      </c>
      <c r="C64" s="13" t="s">
        <v>9</v>
      </c>
      <c r="D64" s="13" t="s">
        <v>294</v>
      </c>
      <c r="E64" s="7">
        <f ca="1">IF(ISBLANK(INDIRECT(CurrentColumn&amp;$I64)),"",INDIRECT(CurrentColumn&amp;$I64))</f>
        <v>300</v>
      </c>
      <c r="F64" s="13"/>
      <c r="G64" s="13"/>
      <c r="H64" s="13" t="s">
        <v>298</v>
      </c>
      <c r="I64" s="7">
        <f t="shared" si="3"/>
        <v>88</v>
      </c>
    </row>
    <row r="65" spans="2:9" x14ac:dyDescent="0.2">
      <c r="B65" s="13" t="s">
        <v>9</v>
      </c>
      <c r="C65" s="13" t="s">
        <v>9</v>
      </c>
      <c r="D65" s="13" t="s">
        <v>296</v>
      </c>
      <c r="E65" s="7">
        <f ca="1">IF(ISBLANK(INDIRECT(CurrentColumn&amp;$I65)),"",IF(INDIRECT(CurrentColumn&amp;$I65)=TRUE,1,0))</f>
        <v>0</v>
      </c>
      <c r="F65" s="13"/>
      <c r="G65" s="13"/>
      <c r="H65" s="13" t="s">
        <v>297</v>
      </c>
      <c r="I65" s="7">
        <f t="shared" si="3"/>
        <v>89</v>
      </c>
    </row>
    <row r="66" spans="2:9" x14ac:dyDescent="0.2">
      <c r="B66" s="13" t="s">
        <v>9</v>
      </c>
      <c r="C66" s="13" t="s">
        <v>9</v>
      </c>
      <c r="D66" s="13" t="s">
        <v>191</v>
      </c>
      <c r="E66" s="7" t="str">
        <f ca="1">IF(ISBLANK(INDIRECT(CurrentColumn&amp;$I66)),"",INDIRECT(CurrentColumn&amp;$I66))</f>
        <v/>
      </c>
      <c r="F66" s="13"/>
      <c r="G66" s="13"/>
      <c r="H66" s="13" t="s">
        <v>192</v>
      </c>
      <c r="I66" s="7">
        <f t="shared" si="3"/>
        <v>90</v>
      </c>
    </row>
    <row r="67" spans="2:9" x14ac:dyDescent="0.2">
      <c r="B67" s="13" t="s">
        <v>9</v>
      </c>
      <c r="C67" s="13" t="s">
        <v>9</v>
      </c>
      <c r="D67" s="13" t="s">
        <v>193</v>
      </c>
      <c r="E67" s="7" t="str">
        <f ca="1">IF(ISBLANK(INDIRECT(CurrentColumn&amp;$I67)),"",INDIRECT(CurrentColumn&amp;$I67))</f>
        <v/>
      </c>
      <c r="F67" s="13"/>
      <c r="G67" s="13"/>
      <c r="H67" s="13" t="s">
        <v>194</v>
      </c>
      <c r="I67" s="7">
        <f t="shared" si="3"/>
        <v>91</v>
      </c>
    </row>
    <row r="68" spans="2:9" x14ac:dyDescent="0.2">
      <c r="B68" s="13" t="s">
        <v>9</v>
      </c>
      <c r="C68" s="13" t="s">
        <v>9</v>
      </c>
      <c r="D68" s="13" t="s">
        <v>195</v>
      </c>
      <c r="E68" s="7" t="str">
        <f ca="1">IF(ISBLANK(INDIRECT(CurrentColumn&amp;$I68)),"",INDIRECT(CurrentColumn&amp;$I68))</f>
        <v/>
      </c>
      <c r="F68" s="13"/>
      <c r="G68" s="13"/>
      <c r="H68" s="13" t="s">
        <v>196</v>
      </c>
      <c r="I68" s="7">
        <f t="shared" si="3"/>
        <v>92</v>
      </c>
    </row>
    <row r="69" spans="2:9" x14ac:dyDescent="0.2">
      <c r="B69" s="13" t="s">
        <v>9</v>
      </c>
      <c r="C69" s="13" t="s">
        <v>9</v>
      </c>
      <c r="D69" s="13" t="s">
        <v>197</v>
      </c>
      <c r="E69" s="7" t="str">
        <f ca="1">IF(ISBLANK(INDIRECT(CurrentColumn&amp;$I69)),"",INDIRECT(CurrentColumn&amp;$I69))</f>
        <v/>
      </c>
      <c r="F69" s="13"/>
      <c r="G69" s="13"/>
      <c r="H69" s="13" t="s">
        <v>198</v>
      </c>
      <c r="I69" s="7">
        <f t="shared" si="3"/>
        <v>93</v>
      </c>
    </row>
    <row r="70" spans="2:9" x14ac:dyDescent="0.2">
      <c r="B70" s="13" t="s">
        <v>9</v>
      </c>
      <c r="C70" s="13" t="s">
        <v>9</v>
      </c>
      <c r="D70" s="13" t="s">
        <v>306</v>
      </c>
      <c r="E70" s="7">
        <f ca="1">IF(ISBLANK(INDIRECT(CurrentColumn&amp;$I70)),"",IF(INDIRECT(CurrentColumn&amp;$I70)=TRUE,1,0))</f>
        <v>1</v>
      </c>
      <c r="F70" s="13"/>
      <c r="G70" s="13"/>
      <c r="H70" s="13" t="s">
        <v>315</v>
      </c>
      <c r="I70" s="7">
        <f t="shared" si="3"/>
        <v>94</v>
      </c>
    </row>
    <row r="71" spans="2:9" x14ac:dyDescent="0.2">
      <c r="B71" s="13" t="s">
        <v>9</v>
      </c>
      <c r="C71" s="13" t="s">
        <v>9</v>
      </c>
      <c r="D71" s="13" t="s">
        <v>307</v>
      </c>
      <c r="E71" s="7">
        <f ca="1">IF(ISBLANK(INDIRECT(CurrentColumn&amp;$I71)),"",IF(INDIRECT(CurrentColumn&amp;$I71)=TRUE,1,0))</f>
        <v>1</v>
      </c>
      <c r="F71" s="13"/>
      <c r="G71" s="13"/>
      <c r="H71" s="13" t="s">
        <v>314</v>
      </c>
      <c r="I71" s="7">
        <f t="shared" si="3"/>
        <v>95</v>
      </c>
    </row>
    <row r="72" spans="2:9" x14ac:dyDescent="0.2">
      <c r="B72" s="13" t="s">
        <v>9</v>
      </c>
      <c r="C72" s="13" t="s">
        <v>9</v>
      </c>
      <c r="D72" s="13" t="s">
        <v>308</v>
      </c>
      <c r="E72" s="7">
        <f ca="1">IF(ISBLANK(INDIRECT(CurrentColumn&amp;$I72)),"",IF(INDIRECT(CurrentColumn&amp;$I72)=TRUE,1,0))</f>
        <v>1</v>
      </c>
      <c r="F72" s="13"/>
      <c r="G72" s="13"/>
      <c r="H72" s="13" t="s">
        <v>313</v>
      </c>
      <c r="I72" s="7">
        <f t="shared" si="3"/>
        <v>96</v>
      </c>
    </row>
    <row r="73" spans="2:9" x14ac:dyDescent="0.2">
      <c r="B73" s="13" t="s">
        <v>9</v>
      </c>
      <c r="C73" s="13" t="s">
        <v>9</v>
      </c>
      <c r="D73" s="13" t="s">
        <v>309</v>
      </c>
      <c r="E73" s="7">
        <f ca="1">IF(ISBLANK(INDIRECT(CurrentColumn&amp;$I73)),"",IF(INDIRECT(CurrentColumn&amp;$I73)=TRUE,1,0))</f>
        <v>1</v>
      </c>
      <c r="F73" s="13"/>
      <c r="G73" s="13"/>
      <c r="H73" s="13" t="s">
        <v>312</v>
      </c>
      <c r="I73" s="7">
        <f t="shared" si="3"/>
        <v>97</v>
      </c>
    </row>
    <row r="74" spans="2:9" x14ac:dyDescent="0.2">
      <c r="B74" s="13" t="s">
        <v>9</v>
      </c>
      <c r="C74" s="13" t="s">
        <v>9</v>
      </c>
      <c r="D74" s="13" t="s">
        <v>310</v>
      </c>
      <c r="E74" s="7">
        <f ca="1">IF(ISBLANK(INDIRECT(CurrentColumn&amp;$I74)),"",IF(INDIRECT(CurrentColumn&amp;$I74)=TRUE,1,0))</f>
        <v>1</v>
      </c>
      <c r="F74" s="13"/>
      <c r="G74" s="13"/>
      <c r="H74" s="13" t="s">
        <v>311</v>
      </c>
      <c r="I74" s="7">
        <f t="shared" si="3"/>
        <v>98</v>
      </c>
    </row>
    <row r="75" spans="2:9" x14ac:dyDescent="0.2">
      <c r="B75" s="13" t="s">
        <v>9</v>
      </c>
      <c r="C75" s="13" t="s">
        <v>199</v>
      </c>
      <c r="D75" s="13"/>
      <c r="E75" s="13"/>
      <c r="F75" s="13"/>
      <c r="G75" s="13"/>
      <c r="H75" s="13"/>
      <c r="I75" s="13"/>
    </row>
    <row r="76" spans="2:9" x14ac:dyDescent="0.2">
      <c r="B76" s="13" t="s">
        <v>9</v>
      </c>
      <c r="C76" s="13" t="s">
        <v>200</v>
      </c>
      <c r="D76" s="13"/>
      <c r="E76" s="13"/>
      <c r="F76" s="13"/>
      <c r="G76" s="13"/>
      <c r="H76" s="13"/>
      <c r="I76" s="13"/>
    </row>
    <row r="77" spans="2:9" x14ac:dyDescent="0.2">
      <c r="B77" s="13" t="s">
        <v>9</v>
      </c>
      <c r="C77" s="13" t="s">
        <v>9</v>
      </c>
      <c r="D77" s="13" t="s">
        <v>91</v>
      </c>
      <c r="E77" s="7">
        <f ca="1">IF(ISBLANK(INDIRECT(CurrentColumn&amp;$I77)),"",INDIRECT(CurrentColumn&amp;$I77))</f>
        <v>250</v>
      </c>
      <c r="F77" s="13"/>
      <c r="G77" s="13"/>
      <c r="H77" s="13" t="s">
        <v>92</v>
      </c>
      <c r="I77" s="7">
        <f>I74+1</f>
        <v>99</v>
      </c>
    </row>
    <row r="78" spans="2:9" x14ac:dyDescent="0.2">
      <c r="B78" s="13" t="s">
        <v>9</v>
      </c>
      <c r="C78" s="13" t="s">
        <v>9</v>
      </c>
      <c r="D78" s="13" t="s">
        <v>93</v>
      </c>
      <c r="E78" s="7">
        <f ca="1">IF(ISBLANK(INDIRECT(CurrentColumn&amp;$I78)),"",INDIRECT(CurrentColumn&amp;$I78))</f>
        <v>1E-8</v>
      </c>
      <c r="F78" s="13"/>
      <c r="G78" s="13"/>
      <c r="H78" s="13" t="s">
        <v>94</v>
      </c>
      <c r="I78" s="7">
        <f>I77+1</f>
        <v>100</v>
      </c>
    </row>
    <row r="79" spans="2:9" x14ac:dyDescent="0.2">
      <c r="B79" s="13" t="s">
        <v>9</v>
      </c>
      <c r="C79" s="13" t="s">
        <v>9</v>
      </c>
      <c r="D79" s="13" t="s">
        <v>95</v>
      </c>
      <c r="E79" s="7">
        <f ca="1">IF(ISBLANK(INDIRECT(CurrentColumn&amp;$I79)),"",INDIRECT(CurrentColumn&amp;$I79))</f>
        <v>1E-8</v>
      </c>
      <c r="F79" s="13"/>
      <c r="G79" s="13"/>
      <c r="H79" s="13" t="s">
        <v>96</v>
      </c>
      <c r="I79" s="7">
        <f t="shared" ref="I79:I142" si="5">I78+1</f>
        <v>101</v>
      </c>
    </row>
    <row r="80" spans="2:9" x14ac:dyDescent="0.2">
      <c r="B80" s="13" t="s">
        <v>9</v>
      </c>
      <c r="C80" s="13" t="s">
        <v>9</v>
      </c>
      <c r="D80" s="13" t="s">
        <v>463</v>
      </c>
      <c r="E80" s="7" t="str">
        <f t="shared" ref="E80:E113" ca="1" si="6">IF(NOT(ISBLANK(INDIRECT(CurrentColumn&amp;$I80))),LEFT(INDIRECT(CurrentColumn&amp;$I80),FIND(",",INDIRECT(CurrentColumn&amp;$I80))-1),"")</f>
        <v>Default</v>
      </c>
      <c r="F80" s="13" t="s">
        <v>430</v>
      </c>
      <c r="G80" s="7" t="str">
        <f t="shared" ref="G80:G112" ca="1" si="7">IF(NOT(ISBLANK(INDIRECT(CurrentColumn&amp;$I80))),RIGHT(INDIRECT(CurrentColumn&amp;$I80),LEN(INDIRECT(CurrentColumn&amp;$I80)) - FIND(",",INDIRECT(CurrentColumn&amp;$I80))),"")</f>
        <v/>
      </c>
      <c r="H80" s="13" t="s">
        <v>97</v>
      </c>
      <c r="I80" s="7">
        <f t="shared" si="5"/>
        <v>102</v>
      </c>
    </row>
    <row r="81" spans="2:9" x14ac:dyDescent="0.2">
      <c r="B81" s="13" t="s">
        <v>9</v>
      </c>
      <c r="C81" s="13" t="s">
        <v>9</v>
      </c>
      <c r="D81" s="13" t="s">
        <v>464</v>
      </c>
      <c r="E81" s="7" t="str">
        <f t="shared" ca="1" si="6"/>
        <v>Default</v>
      </c>
      <c r="F81" s="13" t="s">
        <v>430</v>
      </c>
      <c r="G81" s="7" t="str">
        <f t="shared" ca="1" si="7"/>
        <v/>
      </c>
      <c r="H81" s="13" t="s">
        <v>98</v>
      </c>
      <c r="I81" s="7">
        <f t="shared" si="5"/>
        <v>103</v>
      </c>
    </row>
    <row r="82" spans="2:9" x14ac:dyDescent="0.2">
      <c r="B82" s="13" t="s">
        <v>9</v>
      </c>
      <c r="C82" s="13" t="s">
        <v>9</v>
      </c>
      <c r="D82" s="13" t="s">
        <v>465</v>
      </c>
      <c r="E82" s="7" t="str">
        <f t="shared" ca="1" si="6"/>
        <v>Default</v>
      </c>
      <c r="F82" s="13" t="s">
        <v>430</v>
      </c>
      <c r="G82" s="7" t="str">
        <f t="shared" ca="1" si="7"/>
        <v/>
      </c>
      <c r="H82" s="13" t="s">
        <v>99</v>
      </c>
      <c r="I82" s="7">
        <f t="shared" si="5"/>
        <v>104</v>
      </c>
    </row>
    <row r="83" spans="2:9" x14ac:dyDescent="0.2">
      <c r="B83" s="13" t="s">
        <v>9</v>
      </c>
      <c r="C83" s="13" t="s">
        <v>9</v>
      </c>
      <c r="D83" s="13" t="s">
        <v>432</v>
      </c>
      <c r="E83" s="7" t="str">
        <f t="shared" ca="1" si="6"/>
        <v>Default</v>
      </c>
      <c r="F83" s="13" t="s">
        <v>430</v>
      </c>
      <c r="G83" s="7" t="str">
        <f t="shared" ca="1" si="7"/>
        <v/>
      </c>
      <c r="H83" s="13" t="s">
        <v>180</v>
      </c>
      <c r="I83" s="7">
        <f t="shared" si="5"/>
        <v>105</v>
      </c>
    </row>
    <row r="84" spans="2:9" x14ac:dyDescent="0.2">
      <c r="B84" s="13" t="s">
        <v>9</v>
      </c>
      <c r="C84" s="13" t="s">
        <v>9</v>
      </c>
      <c r="D84" s="13" t="s">
        <v>433</v>
      </c>
      <c r="E84" s="7" t="str">
        <f t="shared" ca="1" si="6"/>
        <v>Default</v>
      </c>
      <c r="F84" s="13" t="s">
        <v>430</v>
      </c>
      <c r="G84" s="7" t="str">
        <f t="shared" ca="1" si="7"/>
        <v/>
      </c>
      <c r="H84" s="13" t="s">
        <v>100</v>
      </c>
      <c r="I84" s="7">
        <f t="shared" si="5"/>
        <v>106</v>
      </c>
    </row>
    <row r="85" spans="2:9" x14ac:dyDescent="0.2">
      <c r="B85" s="13" t="s">
        <v>9</v>
      </c>
      <c r="C85" s="13" t="s">
        <v>9</v>
      </c>
      <c r="D85" s="13" t="s">
        <v>434</v>
      </c>
      <c r="E85" s="7" t="str">
        <f t="shared" ca="1" si="6"/>
        <v>Default</v>
      </c>
      <c r="F85" s="13" t="s">
        <v>430</v>
      </c>
      <c r="G85" s="7" t="str">
        <f t="shared" ca="1" si="7"/>
        <v/>
      </c>
      <c r="H85" s="13" t="s">
        <v>101</v>
      </c>
      <c r="I85" s="7">
        <f t="shared" si="5"/>
        <v>107</v>
      </c>
    </row>
    <row r="86" spans="2:9" x14ac:dyDescent="0.2">
      <c r="B86" s="13" t="s">
        <v>9</v>
      </c>
      <c r="C86" s="13" t="s">
        <v>9</v>
      </c>
      <c r="D86" s="13" t="s">
        <v>435</v>
      </c>
      <c r="E86" s="7" t="str">
        <f t="shared" ca="1" si="6"/>
        <v>Default</v>
      </c>
      <c r="F86" s="13" t="s">
        <v>430</v>
      </c>
      <c r="G86" s="7" t="str">
        <f t="shared" ca="1" si="7"/>
        <v/>
      </c>
      <c r="H86" s="13" t="s">
        <v>102</v>
      </c>
      <c r="I86" s="7">
        <f t="shared" si="5"/>
        <v>108</v>
      </c>
    </row>
    <row r="87" spans="2:9" x14ac:dyDescent="0.2">
      <c r="B87" s="13" t="s">
        <v>9</v>
      </c>
      <c r="C87" s="13" t="s">
        <v>9</v>
      </c>
      <c r="D87" s="13" t="s">
        <v>436</v>
      </c>
      <c r="E87" s="7" t="str">
        <f t="shared" ca="1" si="6"/>
        <v>Default</v>
      </c>
      <c r="F87" s="13" t="s">
        <v>430</v>
      </c>
      <c r="G87" s="7" t="str">
        <f t="shared" ca="1" si="7"/>
        <v/>
      </c>
      <c r="H87" s="13" t="s">
        <v>103</v>
      </c>
      <c r="I87" s="7">
        <f t="shared" si="5"/>
        <v>109</v>
      </c>
    </row>
    <row r="88" spans="2:9" x14ac:dyDescent="0.2">
      <c r="B88" s="13" t="s">
        <v>9</v>
      </c>
      <c r="C88" s="13" t="s">
        <v>9</v>
      </c>
      <c r="D88" s="13" t="s">
        <v>437</v>
      </c>
      <c r="E88" s="7" t="str">
        <f t="shared" ca="1" si="6"/>
        <v>Default</v>
      </c>
      <c r="F88" s="13" t="s">
        <v>430</v>
      </c>
      <c r="G88" s="7" t="str">
        <f t="shared" ca="1" si="7"/>
        <v/>
      </c>
      <c r="H88" s="13" t="s">
        <v>104</v>
      </c>
      <c r="I88" s="7">
        <f t="shared" si="5"/>
        <v>110</v>
      </c>
    </row>
    <row r="89" spans="2:9" x14ac:dyDescent="0.2">
      <c r="B89" s="13" t="s">
        <v>9</v>
      </c>
      <c r="C89" s="13" t="s">
        <v>9</v>
      </c>
      <c r="D89" s="13" t="s">
        <v>438</v>
      </c>
      <c r="E89" s="7" t="str">
        <f t="shared" ca="1" si="6"/>
        <v>Default</v>
      </c>
      <c r="F89" s="13" t="s">
        <v>430</v>
      </c>
      <c r="G89" s="7" t="str">
        <f t="shared" ca="1" si="7"/>
        <v/>
      </c>
      <c r="H89" s="13" t="s">
        <v>105</v>
      </c>
      <c r="I89" s="7">
        <f t="shared" si="5"/>
        <v>111</v>
      </c>
    </row>
    <row r="90" spans="2:9" x14ac:dyDescent="0.2">
      <c r="B90" s="13" t="s">
        <v>9</v>
      </c>
      <c r="C90" s="13" t="s">
        <v>9</v>
      </c>
      <c r="D90" s="13" t="s">
        <v>439</v>
      </c>
      <c r="E90" s="7" t="str">
        <f t="shared" ca="1" si="6"/>
        <v>Default</v>
      </c>
      <c r="F90" s="13" t="s">
        <v>430</v>
      </c>
      <c r="G90" s="7" t="str">
        <f t="shared" ca="1" si="7"/>
        <v/>
      </c>
      <c r="H90" s="13" t="s">
        <v>106</v>
      </c>
      <c r="I90" s="7">
        <f t="shared" si="5"/>
        <v>112</v>
      </c>
    </row>
    <row r="91" spans="2:9" x14ac:dyDescent="0.2">
      <c r="B91" s="13" t="s">
        <v>9</v>
      </c>
      <c r="C91" s="13" t="s">
        <v>9</v>
      </c>
      <c r="D91" s="13" t="s">
        <v>440</v>
      </c>
      <c r="E91" s="7" t="str">
        <f t="shared" ca="1" si="6"/>
        <v>Default</v>
      </c>
      <c r="F91" s="13" t="s">
        <v>430</v>
      </c>
      <c r="G91" s="7" t="str">
        <f t="shared" ca="1" si="7"/>
        <v/>
      </c>
      <c r="H91" s="13" t="s">
        <v>107</v>
      </c>
      <c r="I91" s="7">
        <f t="shared" si="5"/>
        <v>113</v>
      </c>
    </row>
    <row r="92" spans="2:9" x14ac:dyDescent="0.2">
      <c r="B92" s="13" t="s">
        <v>9</v>
      </c>
      <c r="C92" s="13" t="s">
        <v>9</v>
      </c>
      <c r="D92" s="13" t="s">
        <v>441</v>
      </c>
      <c r="E92" s="7" t="str">
        <f t="shared" ca="1" si="6"/>
        <v>Default</v>
      </c>
      <c r="F92" s="13" t="s">
        <v>430</v>
      </c>
      <c r="G92" s="7" t="str">
        <f t="shared" ca="1" si="7"/>
        <v/>
      </c>
      <c r="H92" s="13" t="s">
        <v>108</v>
      </c>
      <c r="I92" s="7">
        <f t="shared" si="5"/>
        <v>114</v>
      </c>
    </row>
    <row r="93" spans="2:9" x14ac:dyDescent="0.2">
      <c r="B93" s="13" t="s">
        <v>9</v>
      </c>
      <c r="C93" s="13" t="s">
        <v>9</v>
      </c>
      <c r="D93" s="13" t="s">
        <v>442</v>
      </c>
      <c r="E93" s="7" t="str">
        <f t="shared" ca="1" si="6"/>
        <v>Default</v>
      </c>
      <c r="F93" s="13" t="s">
        <v>430</v>
      </c>
      <c r="G93" s="7" t="str">
        <f t="shared" ca="1" si="7"/>
        <v/>
      </c>
      <c r="H93" s="13" t="s">
        <v>109</v>
      </c>
      <c r="I93" s="7">
        <f t="shared" si="5"/>
        <v>115</v>
      </c>
    </row>
    <row r="94" spans="2:9" x14ac:dyDescent="0.2">
      <c r="B94" s="13" t="s">
        <v>9</v>
      </c>
      <c r="C94" s="13" t="s">
        <v>9</v>
      </c>
      <c r="D94" s="13" t="s">
        <v>443</v>
      </c>
      <c r="E94" s="7" t="str">
        <f t="shared" ca="1" si="6"/>
        <v>Default</v>
      </c>
      <c r="F94" s="13" t="s">
        <v>430</v>
      </c>
      <c r="G94" s="7" t="str">
        <f t="shared" ca="1" si="7"/>
        <v/>
      </c>
      <c r="H94" s="13" t="s">
        <v>110</v>
      </c>
      <c r="I94" s="7">
        <f t="shared" si="5"/>
        <v>116</v>
      </c>
    </row>
    <row r="95" spans="2:9" x14ac:dyDescent="0.2">
      <c r="B95" s="13" t="s">
        <v>9</v>
      </c>
      <c r="C95" s="13" t="s">
        <v>9</v>
      </c>
      <c r="D95" s="13" t="s">
        <v>444</v>
      </c>
      <c r="E95" s="7" t="str">
        <f t="shared" ca="1" si="6"/>
        <v>Default</v>
      </c>
      <c r="F95" s="13" t="s">
        <v>430</v>
      </c>
      <c r="G95" s="7" t="str">
        <f t="shared" ca="1" si="7"/>
        <v/>
      </c>
      <c r="H95" s="13" t="s">
        <v>111</v>
      </c>
      <c r="I95" s="7">
        <f t="shared" si="5"/>
        <v>117</v>
      </c>
    </row>
    <row r="96" spans="2:9" x14ac:dyDescent="0.2">
      <c r="B96" s="13" t="s">
        <v>9</v>
      </c>
      <c r="C96" s="13" t="s">
        <v>9</v>
      </c>
      <c r="D96" s="13" t="s">
        <v>445</v>
      </c>
      <c r="E96" s="7" t="str">
        <f t="shared" ca="1" si="6"/>
        <v>Default</v>
      </c>
      <c r="F96" s="13" t="s">
        <v>430</v>
      </c>
      <c r="G96" s="7" t="str">
        <f t="shared" ca="1" si="7"/>
        <v/>
      </c>
      <c r="H96" s="13" t="s">
        <v>112</v>
      </c>
      <c r="I96" s="7">
        <f t="shared" si="5"/>
        <v>118</v>
      </c>
    </row>
    <row r="97" spans="2:9" x14ac:dyDescent="0.2">
      <c r="B97" s="13" t="s">
        <v>9</v>
      </c>
      <c r="C97" s="13" t="s">
        <v>9</v>
      </c>
      <c r="D97" s="13" t="s">
        <v>446</v>
      </c>
      <c r="E97" s="7" t="str">
        <f t="shared" ca="1" si="6"/>
        <v>Default</v>
      </c>
      <c r="F97" s="13" t="s">
        <v>430</v>
      </c>
      <c r="G97" s="7" t="str">
        <f t="shared" ca="1" si="7"/>
        <v/>
      </c>
      <c r="H97" s="13" t="s">
        <v>114</v>
      </c>
      <c r="I97" s="7">
        <f t="shared" si="5"/>
        <v>119</v>
      </c>
    </row>
    <row r="98" spans="2:9" x14ac:dyDescent="0.2">
      <c r="B98" s="13" t="s">
        <v>9</v>
      </c>
      <c r="C98" s="13" t="s">
        <v>9</v>
      </c>
      <c r="D98" s="13" t="s">
        <v>447</v>
      </c>
      <c r="E98" s="7" t="str">
        <f t="shared" ca="1" si="6"/>
        <v>Default</v>
      </c>
      <c r="F98" s="13" t="s">
        <v>430</v>
      </c>
      <c r="G98" s="7" t="str">
        <f t="shared" ca="1" si="7"/>
        <v/>
      </c>
      <c r="H98" s="13" t="s">
        <v>113</v>
      </c>
      <c r="I98" s="7">
        <f t="shared" si="5"/>
        <v>120</v>
      </c>
    </row>
    <row r="99" spans="2:9" x14ac:dyDescent="0.2">
      <c r="B99" s="13" t="s">
        <v>9</v>
      </c>
      <c r="C99" s="13" t="s">
        <v>9</v>
      </c>
      <c r="D99" s="13" t="s">
        <v>448</v>
      </c>
      <c r="E99" s="7" t="str">
        <f t="shared" ca="1" si="6"/>
        <v>Default</v>
      </c>
      <c r="F99" s="13" t="s">
        <v>430</v>
      </c>
      <c r="G99" s="7" t="str">
        <f t="shared" ca="1" si="7"/>
        <v/>
      </c>
      <c r="H99" s="13" t="s">
        <v>115</v>
      </c>
      <c r="I99" s="7">
        <f t="shared" si="5"/>
        <v>121</v>
      </c>
    </row>
    <row r="100" spans="2:9" x14ac:dyDescent="0.2">
      <c r="B100" s="13" t="s">
        <v>9</v>
      </c>
      <c r="C100" s="13" t="s">
        <v>9</v>
      </c>
      <c r="D100" s="13" t="s">
        <v>449</v>
      </c>
      <c r="E100" s="7" t="str">
        <f t="shared" ca="1" si="6"/>
        <v>Default</v>
      </c>
      <c r="F100" s="13" t="s">
        <v>430</v>
      </c>
      <c r="G100" s="7" t="str">
        <f t="shared" ca="1" si="7"/>
        <v/>
      </c>
      <c r="H100" s="13" t="s">
        <v>116</v>
      </c>
      <c r="I100" s="7">
        <f t="shared" si="5"/>
        <v>122</v>
      </c>
    </row>
    <row r="101" spans="2:9" x14ac:dyDescent="0.2">
      <c r="B101" s="13" t="s">
        <v>9</v>
      </c>
      <c r="C101" s="13" t="s">
        <v>9</v>
      </c>
      <c r="D101" s="13" t="s">
        <v>450</v>
      </c>
      <c r="E101" s="7" t="str">
        <f t="shared" ca="1" si="6"/>
        <v>Default</v>
      </c>
      <c r="F101" s="13" t="s">
        <v>430</v>
      </c>
      <c r="G101" s="7" t="str">
        <f t="shared" ca="1" si="7"/>
        <v/>
      </c>
      <c r="H101" s="13" t="s">
        <v>117</v>
      </c>
      <c r="I101" s="7">
        <f t="shared" si="5"/>
        <v>123</v>
      </c>
    </row>
    <row r="102" spans="2:9" x14ac:dyDescent="0.2">
      <c r="B102" s="13" t="s">
        <v>9</v>
      </c>
      <c r="C102" s="13" t="s">
        <v>9</v>
      </c>
      <c r="D102" s="13" t="s">
        <v>451</v>
      </c>
      <c r="E102" s="7" t="str">
        <f t="shared" ca="1" si="6"/>
        <v>Default</v>
      </c>
      <c r="F102" s="13" t="s">
        <v>430</v>
      </c>
      <c r="G102" s="7" t="str">
        <f t="shared" ca="1" si="7"/>
        <v/>
      </c>
      <c r="H102" s="13" t="s">
        <v>118</v>
      </c>
      <c r="I102" s="7">
        <f t="shared" si="5"/>
        <v>124</v>
      </c>
    </row>
    <row r="103" spans="2:9" x14ac:dyDescent="0.2">
      <c r="B103" s="13" t="s">
        <v>9</v>
      </c>
      <c r="C103" s="13" t="s">
        <v>9</v>
      </c>
      <c r="D103" s="13" t="s">
        <v>452</v>
      </c>
      <c r="E103" s="7" t="str">
        <f t="shared" ca="1" si="6"/>
        <v>Default</v>
      </c>
      <c r="F103" s="13" t="s">
        <v>430</v>
      </c>
      <c r="G103" s="7" t="str">
        <f t="shared" ca="1" si="7"/>
        <v/>
      </c>
      <c r="H103" s="13" t="s">
        <v>119</v>
      </c>
      <c r="I103" s="7">
        <f t="shared" si="5"/>
        <v>125</v>
      </c>
    </row>
    <row r="104" spans="2:9" x14ac:dyDescent="0.2">
      <c r="B104" s="13" t="s">
        <v>9</v>
      </c>
      <c r="C104" s="13" t="s">
        <v>9</v>
      </c>
      <c r="D104" s="13" t="s">
        <v>453</v>
      </c>
      <c r="E104" s="7" t="str">
        <f t="shared" ca="1" si="6"/>
        <v>Default</v>
      </c>
      <c r="F104" s="13" t="s">
        <v>430</v>
      </c>
      <c r="G104" s="7" t="str">
        <f t="shared" ca="1" si="7"/>
        <v/>
      </c>
      <c r="H104" s="13" t="s">
        <v>120</v>
      </c>
      <c r="I104" s="7">
        <f t="shared" si="5"/>
        <v>126</v>
      </c>
    </row>
    <row r="105" spans="2:9" x14ac:dyDescent="0.2">
      <c r="B105" s="13" t="s">
        <v>9</v>
      </c>
      <c r="C105" s="13" t="s">
        <v>9</v>
      </c>
      <c r="D105" s="13" t="s">
        <v>454</v>
      </c>
      <c r="E105" s="7" t="str">
        <f t="shared" ca="1" si="6"/>
        <v>Default</v>
      </c>
      <c r="F105" s="13" t="s">
        <v>430</v>
      </c>
      <c r="G105" s="7" t="str">
        <f t="shared" ca="1" si="7"/>
        <v/>
      </c>
      <c r="H105" s="13" t="s">
        <v>121</v>
      </c>
      <c r="I105" s="7">
        <f t="shared" si="5"/>
        <v>127</v>
      </c>
    </row>
    <row r="106" spans="2:9" x14ac:dyDescent="0.2">
      <c r="B106" s="13" t="s">
        <v>9</v>
      </c>
      <c r="C106" s="13" t="s">
        <v>9</v>
      </c>
      <c r="D106" s="13" t="s">
        <v>455</v>
      </c>
      <c r="E106" s="7" t="str">
        <f t="shared" ca="1" si="6"/>
        <v>Default</v>
      </c>
      <c r="F106" s="13" t="s">
        <v>430</v>
      </c>
      <c r="G106" s="7" t="str">
        <f t="shared" ca="1" si="7"/>
        <v/>
      </c>
      <c r="H106" s="13" t="s">
        <v>122</v>
      </c>
      <c r="I106" s="7">
        <f t="shared" si="5"/>
        <v>128</v>
      </c>
    </row>
    <row r="107" spans="2:9" x14ac:dyDescent="0.2">
      <c r="B107" s="13" t="s">
        <v>9</v>
      </c>
      <c r="C107" s="13" t="s">
        <v>9</v>
      </c>
      <c r="D107" s="13" t="s">
        <v>456</v>
      </c>
      <c r="E107" s="7" t="str">
        <f t="shared" ca="1" si="6"/>
        <v>Default</v>
      </c>
      <c r="F107" s="13" t="s">
        <v>430</v>
      </c>
      <c r="G107" s="7" t="str">
        <f t="shared" ca="1" si="7"/>
        <v/>
      </c>
      <c r="H107" s="13" t="s">
        <v>123</v>
      </c>
      <c r="I107" s="7">
        <f t="shared" si="5"/>
        <v>129</v>
      </c>
    </row>
    <row r="108" spans="2:9" x14ac:dyDescent="0.2">
      <c r="B108" s="13" t="s">
        <v>9</v>
      </c>
      <c r="C108" s="13" t="s">
        <v>9</v>
      </c>
      <c r="D108" s="13" t="s">
        <v>457</v>
      </c>
      <c r="E108" s="7" t="str">
        <f t="shared" ca="1" si="6"/>
        <v>Default</v>
      </c>
      <c r="F108" s="13" t="s">
        <v>430</v>
      </c>
      <c r="G108" s="7" t="str">
        <f t="shared" ca="1" si="7"/>
        <v/>
      </c>
      <c r="H108" s="13" t="s">
        <v>124</v>
      </c>
      <c r="I108" s="7">
        <f t="shared" si="5"/>
        <v>130</v>
      </c>
    </row>
    <row r="109" spans="2:9" x14ac:dyDescent="0.2">
      <c r="B109" s="13" t="s">
        <v>9</v>
      </c>
      <c r="C109" s="13" t="s">
        <v>9</v>
      </c>
      <c r="D109" s="13" t="s">
        <v>458</v>
      </c>
      <c r="E109" s="7" t="str">
        <f t="shared" ca="1" si="6"/>
        <v>Default</v>
      </c>
      <c r="F109" s="13" t="s">
        <v>430</v>
      </c>
      <c r="G109" s="7" t="str">
        <f t="shared" ca="1" si="7"/>
        <v/>
      </c>
      <c r="H109" s="13" t="s">
        <v>125</v>
      </c>
      <c r="I109" s="7">
        <f t="shared" si="5"/>
        <v>131</v>
      </c>
    </row>
    <row r="110" spans="2:9" x14ac:dyDescent="0.2">
      <c r="B110" s="13" t="s">
        <v>9</v>
      </c>
      <c r="C110" s="13" t="s">
        <v>9</v>
      </c>
      <c r="D110" s="13" t="s">
        <v>459</v>
      </c>
      <c r="E110" s="7" t="str">
        <f t="shared" ca="1" si="6"/>
        <v>Default</v>
      </c>
      <c r="F110" s="13" t="s">
        <v>430</v>
      </c>
      <c r="G110" s="7" t="str">
        <f t="shared" ca="1" si="7"/>
        <v/>
      </c>
      <c r="H110" s="13" t="s">
        <v>126</v>
      </c>
      <c r="I110" s="7">
        <f t="shared" si="5"/>
        <v>132</v>
      </c>
    </row>
    <row r="111" spans="2:9" x14ac:dyDescent="0.2">
      <c r="B111" s="13" t="s">
        <v>9</v>
      </c>
      <c r="C111" s="13" t="s">
        <v>9</v>
      </c>
      <c r="D111" s="13" t="s">
        <v>460</v>
      </c>
      <c r="E111" s="7" t="str">
        <f t="shared" ca="1" si="6"/>
        <v>Default</v>
      </c>
      <c r="F111" s="13" t="s">
        <v>430</v>
      </c>
      <c r="G111" s="7" t="str">
        <f t="shared" ca="1" si="7"/>
        <v/>
      </c>
      <c r="H111" s="13" t="s">
        <v>127</v>
      </c>
      <c r="I111" s="7">
        <f t="shared" si="5"/>
        <v>133</v>
      </c>
    </row>
    <row r="112" spans="2:9" x14ac:dyDescent="0.2">
      <c r="B112" s="13" t="s">
        <v>9</v>
      </c>
      <c r="C112" s="13" t="s">
        <v>9</v>
      </c>
      <c r="D112" s="13" t="s">
        <v>461</v>
      </c>
      <c r="E112" s="7" t="str">
        <f t="shared" ca="1" si="6"/>
        <v>Default</v>
      </c>
      <c r="F112" s="13" t="s">
        <v>430</v>
      </c>
      <c r="G112" s="7" t="str">
        <f t="shared" ca="1" si="7"/>
        <v/>
      </c>
      <c r="H112" s="13" t="s">
        <v>128</v>
      </c>
      <c r="I112" s="7">
        <f t="shared" si="5"/>
        <v>134</v>
      </c>
    </row>
    <row r="113" spans="2:9" x14ac:dyDescent="0.2">
      <c r="B113" s="13" t="s">
        <v>9</v>
      </c>
      <c r="C113" s="13" t="s">
        <v>9</v>
      </c>
      <c r="D113" s="13" t="s">
        <v>201</v>
      </c>
      <c r="E113" s="7" t="str">
        <f t="shared" ca="1" si="6"/>
        <v/>
      </c>
      <c r="F113" s="13"/>
      <c r="G113" s="13"/>
      <c r="H113" s="13" t="s">
        <v>131</v>
      </c>
      <c r="I113" s="7">
        <f t="shared" si="5"/>
        <v>135</v>
      </c>
    </row>
    <row r="114" spans="2:9" x14ac:dyDescent="0.2">
      <c r="B114" s="13" t="s">
        <v>9</v>
      </c>
      <c r="C114" s="13" t="s">
        <v>9</v>
      </c>
      <c r="D114" s="13" t="s">
        <v>202</v>
      </c>
      <c r="E114" s="7" t="str">
        <f t="shared" ref="E114:E152" ca="1" si="8">IF(ISBLANK(INDIRECT(CurrentColumn&amp;$I114)),"",INDIRECT(CurrentColumn&amp;$I114))</f>
        <v/>
      </c>
      <c r="F114" s="13"/>
      <c r="G114" s="13"/>
      <c r="H114" s="13" t="s">
        <v>130</v>
      </c>
      <c r="I114" s="7">
        <f t="shared" si="5"/>
        <v>136</v>
      </c>
    </row>
    <row r="115" spans="2:9" x14ac:dyDescent="0.2">
      <c r="B115" s="13" t="s">
        <v>9</v>
      </c>
      <c r="C115" s="13" t="s">
        <v>9</v>
      </c>
      <c r="D115" s="13" t="s">
        <v>203</v>
      </c>
      <c r="E115" s="7" t="str">
        <f t="shared" ca="1" si="8"/>
        <v/>
      </c>
      <c r="F115" s="13"/>
      <c r="G115" s="13"/>
      <c r="H115" s="13" t="s">
        <v>129</v>
      </c>
      <c r="I115" s="7">
        <f t="shared" si="5"/>
        <v>137</v>
      </c>
    </row>
    <row r="116" spans="2:9" x14ac:dyDescent="0.2">
      <c r="B116" s="13" t="s">
        <v>9</v>
      </c>
      <c r="C116" s="13" t="s">
        <v>9</v>
      </c>
      <c r="D116" s="13" t="s">
        <v>319</v>
      </c>
      <c r="E116" s="7" t="str">
        <f t="shared" ca="1" si="8"/>
        <v>Title</v>
      </c>
      <c r="F116" s="13"/>
      <c r="G116" s="13"/>
      <c r="H116" s="13" t="s">
        <v>316</v>
      </c>
      <c r="I116" s="7">
        <f t="shared" si="5"/>
        <v>138</v>
      </c>
    </row>
    <row r="117" spans="2:9" x14ac:dyDescent="0.2">
      <c r="B117" s="13" t="s">
        <v>9</v>
      </c>
      <c r="C117" s="13" t="s">
        <v>9</v>
      </c>
      <c r="D117" s="13" t="s">
        <v>318</v>
      </c>
      <c r="E117" s="7" t="str">
        <f t="shared" ca="1" si="8"/>
        <v>Natural</v>
      </c>
      <c r="F117" s="13"/>
      <c r="G117" s="13"/>
      <c r="H117" s="13" t="s">
        <v>317</v>
      </c>
      <c r="I117" s="7">
        <f t="shared" si="5"/>
        <v>139</v>
      </c>
    </row>
    <row r="118" spans="2:9" x14ac:dyDescent="0.2">
      <c r="B118" s="13" t="s">
        <v>9</v>
      </c>
      <c r="C118" s="13" t="s">
        <v>9</v>
      </c>
      <c r="D118" s="13" t="s">
        <v>204</v>
      </c>
      <c r="E118" s="7" t="str">
        <f t="shared" ca="1" si="8"/>
        <v/>
      </c>
      <c r="F118" s="13"/>
      <c r="G118" s="13"/>
      <c r="H118" s="13" t="s">
        <v>205</v>
      </c>
      <c r="I118" s="7">
        <f t="shared" si="5"/>
        <v>140</v>
      </c>
    </row>
    <row r="119" spans="2:9" x14ac:dyDescent="0.2">
      <c r="B119" s="13" t="s">
        <v>9</v>
      </c>
      <c r="C119" s="13" t="s">
        <v>9</v>
      </c>
      <c r="D119" s="13" t="s">
        <v>206</v>
      </c>
      <c r="E119" s="7" t="str">
        <f t="shared" ca="1" si="8"/>
        <v/>
      </c>
      <c r="F119" s="13"/>
      <c r="G119" s="13"/>
      <c r="H119" s="13" t="s">
        <v>207</v>
      </c>
      <c r="I119" s="7">
        <f t="shared" si="5"/>
        <v>141</v>
      </c>
    </row>
    <row r="120" spans="2:9" x14ac:dyDescent="0.2">
      <c r="B120" s="13" t="s">
        <v>9</v>
      </c>
      <c r="C120" s="13" t="s">
        <v>9</v>
      </c>
      <c r="D120" s="13" t="s">
        <v>208</v>
      </c>
      <c r="E120" s="7" t="str">
        <f t="shared" ca="1" si="8"/>
        <v/>
      </c>
      <c r="F120" s="13"/>
      <c r="G120" s="13"/>
      <c r="H120" s="13" t="s">
        <v>209</v>
      </c>
      <c r="I120" s="7">
        <f t="shared" si="5"/>
        <v>142</v>
      </c>
    </row>
    <row r="121" spans="2:9" x14ac:dyDescent="0.2">
      <c r="B121" s="13" t="s">
        <v>9</v>
      </c>
      <c r="C121" s="13" t="s">
        <v>9</v>
      </c>
      <c r="D121" s="13" t="s">
        <v>210</v>
      </c>
      <c r="E121" s="7" t="str">
        <f t="shared" ca="1" si="8"/>
        <v/>
      </c>
      <c r="F121" s="13"/>
      <c r="G121" s="13"/>
      <c r="H121" s="13" t="s">
        <v>211</v>
      </c>
      <c r="I121" s="7">
        <f t="shared" si="5"/>
        <v>143</v>
      </c>
    </row>
    <row r="122" spans="2:9" x14ac:dyDescent="0.2">
      <c r="B122" s="13" t="s">
        <v>9</v>
      </c>
      <c r="C122" s="13" t="s">
        <v>9</v>
      </c>
      <c r="D122" s="13" t="s">
        <v>212</v>
      </c>
      <c r="E122" s="7" t="str">
        <f t="shared" ca="1" si="8"/>
        <v/>
      </c>
      <c r="F122" s="13"/>
      <c r="G122" s="13"/>
      <c r="H122" s="13" t="s">
        <v>213</v>
      </c>
      <c r="I122" s="7">
        <f t="shared" si="5"/>
        <v>144</v>
      </c>
    </row>
    <row r="123" spans="2:9" x14ac:dyDescent="0.2">
      <c r="B123" s="13" t="s">
        <v>9</v>
      </c>
      <c r="C123" s="13" t="s">
        <v>9</v>
      </c>
      <c r="D123" s="13" t="s">
        <v>214</v>
      </c>
      <c r="E123" s="7" t="str">
        <f t="shared" ca="1" si="8"/>
        <v/>
      </c>
      <c r="F123" s="13"/>
      <c r="G123" s="13"/>
      <c r="H123" s="13" t="s">
        <v>215</v>
      </c>
      <c r="I123" s="7">
        <f t="shared" si="5"/>
        <v>145</v>
      </c>
    </row>
    <row r="124" spans="2:9" x14ac:dyDescent="0.2">
      <c r="B124" s="13" t="s">
        <v>9</v>
      </c>
      <c r="C124" s="13" t="s">
        <v>9</v>
      </c>
      <c r="D124" s="13" t="s">
        <v>216</v>
      </c>
      <c r="E124" s="7" t="str">
        <f t="shared" ca="1" si="8"/>
        <v/>
      </c>
      <c r="F124" s="13"/>
      <c r="G124" s="13"/>
      <c r="H124" s="13" t="s">
        <v>217</v>
      </c>
      <c r="I124" s="7">
        <f t="shared" si="5"/>
        <v>146</v>
      </c>
    </row>
    <row r="125" spans="2:9" x14ac:dyDescent="0.2">
      <c r="B125" s="13" t="s">
        <v>9</v>
      </c>
      <c r="C125" s="13" t="s">
        <v>9</v>
      </c>
      <c r="D125" s="13" t="s">
        <v>218</v>
      </c>
      <c r="E125" s="7" t="str">
        <f t="shared" ca="1" si="8"/>
        <v/>
      </c>
      <c r="F125" s="13"/>
      <c r="G125" s="13"/>
      <c r="H125" s="13" t="s">
        <v>219</v>
      </c>
      <c r="I125" s="7">
        <f t="shared" si="5"/>
        <v>147</v>
      </c>
    </row>
    <row r="126" spans="2:9" x14ac:dyDescent="0.2">
      <c r="B126" s="13" t="s">
        <v>9</v>
      </c>
      <c r="C126" s="13" t="s">
        <v>9</v>
      </c>
      <c r="D126" s="13" t="s">
        <v>220</v>
      </c>
      <c r="E126" s="7" t="str">
        <f t="shared" ca="1" si="8"/>
        <v/>
      </c>
      <c r="F126" s="13"/>
      <c r="G126" s="13"/>
      <c r="H126" s="13" t="s">
        <v>221</v>
      </c>
      <c r="I126" s="7">
        <f t="shared" si="5"/>
        <v>148</v>
      </c>
    </row>
    <row r="127" spans="2:9" x14ac:dyDescent="0.2">
      <c r="B127" s="13" t="s">
        <v>9</v>
      </c>
      <c r="C127" s="13" t="s">
        <v>9</v>
      </c>
      <c r="D127" s="13" t="s">
        <v>222</v>
      </c>
      <c r="E127" s="7" t="str">
        <f t="shared" ca="1" si="8"/>
        <v/>
      </c>
      <c r="F127" s="13"/>
      <c r="G127" s="13"/>
      <c r="H127" s="13" t="s">
        <v>223</v>
      </c>
      <c r="I127" s="7">
        <f t="shared" si="5"/>
        <v>149</v>
      </c>
    </row>
    <row r="128" spans="2:9" x14ac:dyDescent="0.2">
      <c r="B128" s="13" t="s">
        <v>9</v>
      </c>
      <c r="C128" s="13" t="s">
        <v>9</v>
      </c>
      <c r="D128" s="13" t="s">
        <v>224</v>
      </c>
      <c r="E128" s="7" t="str">
        <f t="shared" ca="1" si="8"/>
        <v/>
      </c>
      <c r="F128" s="13"/>
      <c r="G128" s="13"/>
      <c r="H128" s="13" t="s">
        <v>225</v>
      </c>
      <c r="I128" s="7">
        <f t="shared" si="5"/>
        <v>150</v>
      </c>
    </row>
    <row r="129" spans="2:9" x14ac:dyDescent="0.2">
      <c r="B129" s="13" t="s">
        <v>9</v>
      </c>
      <c r="C129" s="13" t="s">
        <v>9</v>
      </c>
      <c r="D129" s="13" t="s">
        <v>226</v>
      </c>
      <c r="E129" s="7" t="str">
        <f t="shared" ca="1" si="8"/>
        <v/>
      </c>
      <c r="F129" s="13"/>
      <c r="G129" s="13"/>
      <c r="H129" s="13" t="s">
        <v>227</v>
      </c>
      <c r="I129" s="7">
        <f t="shared" si="5"/>
        <v>151</v>
      </c>
    </row>
    <row r="130" spans="2:9" x14ac:dyDescent="0.2">
      <c r="B130" s="13" t="s">
        <v>9</v>
      </c>
      <c r="C130" s="13" t="s">
        <v>9</v>
      </c>
      <c r="D130" s="13" t="s">
        <v>228</v>
      </c>
      <c r="E130" s="7" t="str">
        <f t="shared" ca="1" si="8"/>
        <v/>
      </c>
      <c r="F130" s="13"/>
      <c r="G130" s="13"/>
      <c r="H130" s="13" t="s">
        <v>229</v>
      </c>
      <c r="I130" s="7">
        <f t="shared" si="5"/>
        <v>152</v>
      </c>
    </row>
    <row r="131" spans="2:9" x14ac:dyDescent="0.2">
      <c r="B131" s="13" t="s">
        <v>9</v>
      </c>
      <c r="C131" s="13" t="s">
        <v>9</v>
      </c>
      <c r="D131" s="13" t="s">
        <v>230</v>
      </c>
      <c r="E131" s="7" t="str">
        <f t="shared" ca="1" si="8"/>
        <v/>
      </c>
      <c r="F131" s="13"/>
      <c r="G131" s="13"/>
      <c r="H131" s="13" t="s">
        <v>231</v>
      </c>
      <c r="I131" s="7">
        <f t="shared" si="5"/>
        <v>153</v>
      </c>
    </row>
    <row r="132" spans="2:9" x14ac:dyDescent="0.2">
      <c r="B132" s="13" t="s">
        <v>9</v>
      </c>
      <c r="C132" s="13" t="s">
        <v>9</v>
      </c>
      <c r="D132" s="13" t="s">
        <v>232</v>
      </c>
      <c r="E132" s="7" t="str">
        <f t="shared" ca="1" si="8"/>
        <v/>
      </c>
      <c r="F132" s="13"/>
      <c r="G132" s="13"/>
      <c r="H132" s="13" t="s">
        <v>233</v>
      </c>
      <c r="I132" s="7">
        <f t="shared" si="5"/>
        <v>154</v>
      </c>
    </row>
    <row r="133" spans="2:9" x14ac:dyDescent="0.2">
      <c r="B133" s="13" t="s">
        <v>9</v>
      </c>
      <c r="C133" s="13" t="s">
        <v>9</v>
      </c>
      <c r="D133" s="13" t="s">
        <v>234</v>
      </c>
      <c r="E133" s="7" t="str">
        <f t="shared" ca="1" si="8"/>
        <v/>
      </c>
      <c r="F133" s="13"/>
      <c r="G133" s="13"/>
      <c r="H133" s="13" t="s">
        <v>235</v>
      </c>
      <c r="I133" s="7">
        <f t="shared" si="5"/>
        <v>155</v>
      </c>
    </row>
    <row r="134" spans="2:9" x14ac:dyDescent="0.2">
      <c r="B134" s="13" t="s">
        <v>9</v>
      </c>
      <c r="C134" s="13" t="s">
        <v>9</v>
      </c>
      <c r="D134" s="13" t="s">
        <v>236</v>
      </c>
      <c r="E134" s="7" t="str">
        <f t="shared" ca="1" si="8"/>
        <v/>
      </c>
      <c r="F134" s="13"/>
      <c r="G134" s="13"/>
      <c r="H134" s="13" t="s">
        <v>237</v>
      </c>
      <c r="I134" s="7">
        <f t="shared" si="5"/>
        <v>156</v>
      </c>
    </row>
    <row r="135" spans="2:9" x14ac:dyDescent="0.2">
      <c r="B135" s="13" t="s">
        <v>9</v>
      </c>
      <c r="C135" s="13" t="s">
        <v>9</v>
      </c>
      <c r="D135" s="13" t="s">
        <v>238</v>
      </c>
      <c r="E135" s="7" t="str">
        <f t="shared" ca="1" si="8"/>
        <v/>
      </c>
      <c r="F135" s="13"/>
      <c r="G135" s="13"/>
      <c r="H135" s="13" t="s">
        <v>239</v>
      </c>
      <c r="I135" s="7">
        <f t="shared" si="5"/>
        <v>157</v>
      </c>
    </row>
    <row r="136" spans="2:9" x14ac:dyDescent="0.2">
      <c r="B136" s="13" t="s">
        <v>9</v>
      </c>
      <c r="C136" s="13" t="s">
        <v>9</v>
      </c>
      <c r="D136" s="13" t="s">
        <v>240</v>
      </c>
      <c r="E136" s="7" t="str">
        <f t="shared" ca="1" si="8"/>
        <v/>
      </c>
      <c r="F136" s="13"/>
      <c r="G136" s="13"/>
      <c r="H136" s="13" t="s">
        <v>241</v>
      </c>
      <c r="I136" s="7">
        <f t="shared" si="5"/>
        <v>158</v>
      </c>
    </row>
    <row r="137" spans="2:9" x14ac:dyDescent="0.2">
      <c r="B137" s="13" t="s">
        <v>9</v>
      </c>
      <c r="C137" s="13" t="s">
        <v>9</v>
      </c>
      <c r="D137" s="13" t="s">
        <v>242</v>
      </c>
      <c r="E137" s="7" t="str">
        <f t="shared" ca="1" si="8"/>
        <v/>
      </c>
      <c r="F137" s="13"/>
      <c r="G137" s="13"/>
      <c r="H137" s="13" t="s">
        <v>243</v>
      </c>
      <c r="I137" s="7">
        <f t="shared" si="5"/>
        <v>159</v>
      </c>
    </row>
    <row r="138" spans="2:9" x14ac:dyDescent="0.2">
      <c r="B138" s="13" t="s">
        <v>9</v>
      </c>
      <c r="C138" s="13" t="s">
        <v>9</v>
      </c>
      <c r="D138" s="13" t="s">
        <v>244</v>
      </c>
      <c r="E138" s="7" t="str">
        <f t="shared" ca="1" si="8"/>
        <v/>
      </c>
      <c r="F138" s="13"/>
      <c r="G138" s="13"/>
      <c r="H138" s="13" t="s">
        <v>245</v>
      </c>
      <c r="I138" s="7">
        <f t="shared" si="5"/>
        <v>160</v>
      </c>
    </row>
    <row r="139" spans="2:9" x14ac:dyDescent="0.2">
      <c r="B139" s="13" t="s">
        <v>9</v>
      </c>
      <c r="C139" s="13" t="s">
        <v>9</v>
      </c>
      <c r="D139" s="13" t="s">
        <v>246</v>
      </c>
      <c r="E139" s="7" t="str">
        <f t="shared" ca="1" si="8"/>
        <v/>
      </c>
      <c r="F139" s="13"/>
      <c r="G139" s="13"/>
      <c r="H139" s="13" t="s">
        <v>247</v>
      </c>
      <c r="I139" s="7">
        <f t="shared" si="5"/>
        <v>161</v>
      </c>
    </row>
    <row r="140" spans="2:9" x14ac:dyDescent="0.2">
      <c r="B140" s="13" t="s">
        <v>9</v>
      </c>
      <c r="C140" s="13" t="s">
        <v>9</v>
      </c>
      <c r="D140" s="13" t="s">
        <v>248</v>
      </c>
      <c r="E140" s="7" t="str">
        <f t="shared" ca="1" si="8"/>
        <v/>
      </c>
      <c r="F140" s="13"/>
      <c r="G140" s="13"/>
      <c r="H140" s="13" t="s">
        <v>249</v>
      </c>
      <c r="I140" s="7">
        <f t="shared" si="5"/>
        <v>162</v>
      </c>
    </row>
    <row r="141" spans="2:9" x14ac:dyDescent="0.2">
      <c r="B141" s="13" t="s">
        <v>9</v>
      </c>
      <c r="C141" s="13" t="s">
        <v>9</v>
      </c>
      <c r="D141" s="13" t="s">
        <v>250</v>
      </c>
      <c r="E141" s="7" t="str">
        <f t="shared" ca="1" si="8"/>
        <v/>
      </c>
      <c r="F141" s="13"/>
      <c r="G141" s="13"/>
      <c r="H141" s="13" t="s">
        <v>251</v>
      </c>
      <c r="I141" s="7">
        <f t="shared" si="5"/>
        <v>163</v>
      </c>
    </row>
    <row r="142" spans="2:9" x14ac:dyDescent="0.2">
      <c r="B142" s="13" t="s">
        <v>9</v>
      </c>
      <c r="C142" s="13" t="s">
        <v>9</v>
      </c>
      <c r="D142" s="13" t="s">
        <v>252</v>
      </c>
      <c r="E142" s="7" t="str">
        <f t="shared" ca="1" si="8"/>
        <v/>
      </c>
      <c r="F142" s="13"/>
      <c r="G142" s="13"/>
      <c r="H142" s="13" t="s">
        <v>253</v>
      </c>
      <c r="I142" s="7">
        <f t="shared" si="5"/>
        <v>164</v>
      </c>
    </row>
    <row r="143" spans="2:9" x14ac:dyDescent="0.2">
      <c r="B143" s="13" t="s">
        <v>9</v>
      </c>
      <c r="C143" s="13" t="s">
        <v>9</v>
      </c>
      <c r="D143" s="13" t="s">
        <v>254</v>
      </c>
      <c r="E143" s="7" t="str">
        <f t="shared" ca="1" si="8"/>
        <v/>
      </c>
      <c r="F143" s="13"/>
      <c r="G143" s="13"/>
      <c r="H143" s="13" t="s">
        <v>255</v>
      </c>
      <c r="I143" s="7">
        <f t="shared" ref="I143:I152" si="9">I142+1</f>
        <v>165</v>
      </c>
    </row>
    <row r="144" spans="2:9" x14ac:dyDescent="0.2">
      <c r="B144" s="13" t="s">
        <v>9</v>
      </c>
      <c r="C144" s="13" t="s">
        <v>9</v>
      </c>
      <c r="D144" s="13" t="s">
        <v>256</v>
      </c>
      <c r="E144" s="7" t="str">
        <f t="shared" ca="1" si="8"/>
        <v/>
      </c>
      <c r="F144" s="13"/>
      <c r="G144" s="13"/>
      <c r="H144" s="13" t="s">
        <v>257</v>
      </c>
      <c r="I144" s="7">
        <f t="shared" si="9"/>
        <v>166</v>
      </c>
    </row>
    <row r="145" spans="2:9" x14ac:dyDescent="0.2">
      <c r="B145" s="13" t="s">
        <v>9</v>
      </c>
      <c r="C145" s="13" t="s">
        <v>9</v>
      </c>
      <c r="D145" s="13" t="s">
        <v>258</v>
      </c>
      <c r="E145" s="7" t="str">
        <f t="shared" ca="1" si="8"/>
        <v/>
      </c>
      <c r="F145" s="13"/>
      <c r="G145" s="13"/>
      <c r="H145" s="13" t="s">
        <v>259</v>
      </c>
      <c r="I145" s="7">
        <f t="shared" si="9"/>
        <v>167</v>
      </c>
    </row>
    <row r="146" spans="2:9" x14ac:dyDescent="0.2">
      <c r="B146" s="13" t="s">
        <v>9</v>
      </c>
      <c r="C146" s="13" t="s">
        <v>9</v>
      </c>
      <c r="D146" s="13" t="s">
        <v>260</v>
      </c>
      <c r="E146" s="7" t="str">
        <f t="shared" ca="1" si="8"/>
        <v/>
      </c>
      <c r="F146" s="13"/>
      <c r="G146" s="13"/>
      <c r="H146" s="13" t="s">
        <v>261</v>
      </c>
      <c r="I146" s="7">
        <f t="shared" si="9"/>
        <v>168</v>
      </c>
    </row>
    <row r="147" spans="2:9" x14ac:dyDescent="0.2">
      <c r="B147" s="13" t="s">
        <v>9</v>
      </c>
      <c r="C147" s="13" t="s">
        <v>9</v>
      </c>
      <c r="D147" s="13" t="s">
        <v>262</v>
      </c>
      <c r="E147" s="7" t="str">
        <f t="shared" ca="1" si="8"/>
        <v/>
      </c>
      <c r="F147" s="13"/>
      <c r="G147" s="13"/>
      <c r="H147" s="13" t="s">
        <v>263</v>
      </c>
      <c r="I147" s="7">
        <f t="shared" si="9"/>
        <v>169</v>
      </c>
    </row>
    <row r="148" spans="2:9" x14ac:dyDescent="0.2">
      <c r="B148" s="13" t="s">
        <v>9</v>
      </c>
      <c r="C148" s="13" t="s">
        <v>9</v>
      </c>
      <c r="D148" s="13" t="s">
        <v>264</v>
      </c>
      <c r="E148" s="7" t="str">
        <f t="shared" ca="1" si="8"/>
        <v/>
      </c>
      <c r="F148" s="13"/>
      <c r="G148" s="13"/>
      <c r="H148" s="13" t="s">
        <v>265</v>
      </c>
      <c r="I148" s="7">
        <f t="shared" si="9"/>
        <v>170</v>
      </c>
    </row>
    <row r="149" spans="2:9" x14ac:dyDescent="0.2">
      <c r="B149" s="13" t="s">
        <v>9</v>
      </c>
      <c r="C149" s="13" t="s">
        <v>9</v>
      </c>
      <c r="D149" s="13" t="s">
        <v>266</v>
      </c>
      <c r="E149" s="7" t="str">
        <f t="shared" ca="1" si="8"/>
        <v/>
      </c>
      <c r="F149" s="13"/>
      <c r="G149" s="13"/>
      <c r="H149" s="13" t="s">
        <v>267</v>
      </c>
      <c r="I149" s="7">
        <f t="shared" si="9"/>
        <v>171</v>
      </c>
    </row>
    <row r="150" spans="2:9" x14ac:dyDescent="0.2">
      <c r="B150" s="13" t="s">
        <v>9</v>
      </c>
      <c r="C150" s="13" t="s">
        <v>9</v>
      </c>
      <c r="D150" s="13" t="s">
        <v>268</v>
      </c>
      <c r="E150" s="7" t="str">
        <f t="shared" ca="1" si="8"/>
        <v/>
      </c>
      <c r="F150" s="13"/>
      <c r="G150" s="13"/>
      <c r="H150" s="13" t="s">
        <v>269</v>
      </c>
      <c r="I150" s="7">
        <f t="shared" si="9"/>
        <v>172</v>
      </c>
    </row>
    <row r="151" spans="2:9" x14ac:dyDescent="0.2">
      <c r="B151" s="13" t="s">
        <v>9</v>
      </c>
      <c r="C151" s="13" t="s">
        <v>9</v>
      </c>
      <c r="D151" s="13" t="s">
        <v>270</v>
      </c>
      <c r="E151" s="7" t="str">
        <f t="shared" ca="1" si="8"/>
        <v/>
      </c>
      <c r="F151" s="13"/>
      <c r="G151" s="13"/>
      <c r="H151" s="13" t="s">
        <v>271</v>
      </c>
      <c r="I151" s="7">
        <f t="shared" si="9"/>
        <v>173</v>
      </c>
    </row>
    <row r="152" spans="2:9" x14ac:dyDescent="0.2">
      <c r="B152" s="13" t="s">
        <v>9</v>
      </c>
      <c r="C152" s="13" t="s">
        <v>9</v>
      </c>
      <c r="D152" s="13" t="s">
        <v>272</v>
      </c>
      <c r="E152" s="7" t="str">
        <f t="shared" ca="1" si="8"/>
        <v/>
      </c>
      <c r="F152" s="13"/>
      <c r="G152" s="13"/>
      <c r="H152" s="13" t="s">
        <v>273</v>
      </c>
      <c r="I152" s="7">
        <f t="shared" si="9"/>
        <v>174</v>
      </c>
    </row>
    <row r="153" spans="2:9" x14ac:dyDescent="0.2">
      <c r="B153" s="13" t="s">
        <v>9</v>
      </c>
      <c r="C153" s="13" t="s">
        <v>274</v>
      </c>
      <c r="D153" s="13"/>
      <c r="E153" s="13"/>
      <c r="F153" s="13"/>
      <c r="G153" s="13"/>
      <c r="H153" s="13"/>
      <c r="I153" s="13"/>
    </row>
    <row r="154" spans="2:9" x14ac:dyDescent="0.2">
      <c r="B154" s="13" t="s">
        <v>275</v>
      </c>
      <c r="C154" s="13"/>
      <c r="D154" s="13"/>
      <c r="E154" s="13"/>
      <c r="F154" s="13"/>
      <c r="G154" s="13"/>
      <c r="H154" s="13"/>
      <c r="I154" s="13"/>
    </row>
    <row r="155" spans="2:9" x14ac:dyDescent="0.2"/>
    <row r="156" spans="2:9" x14ac:dyDescent="0.2"/>
    <row r="157" spans="2:9" x14ac:dyDescent="0.2"/>
    <row r="158" spans="2:9" x14ac:dyDescent="0.2"/>
    <row r="159" spans="2:9" x14ac:dyDescent="0.2"/>
    <row r="160" spans="2:9" x14ac:dyDescent="0.2"/>
  </sheetData>
  <phoneticPr fontId="2" type="noConversion"/>
  <pageMargins left="0.75" right="0.75" top="1" bottom="1" header="0.5" footer="0.5"/>
  <pageSetup orientation="portrait" r:id="rId1"/>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enableFormatConditionsCalculation="0">
    <tabColor indexed="44"/>
  </sheetPr>
  <dimension ref="A1:K70"/>
  <sheetViews>
    <sheetView workbookViewId="0">
      <pane ySplit="5" topLeftCell="A6" activePane="bottomLeft" state="frozen"/>
      <selection pane="bottomLeft"/>
    </sheetView>
  </sheetViews>
  <sheetFormatPr defaultColWidth="0" defaultRowHeight="12.75" zeroHeight="1" x14ac:dyDescent="0.2"/>
  <cols>
    <col min="1" max="1" width="4.28515625" style="6" customWidth="1"/>
    <col min="2" max="2" width="27.42578125" style="6" customWidth="1"/>
    <col min="3" max="4" width="9.140625" style="6" customWidth="1"/>
    <col min="5" max="5" width="21" style="6" bestFit="1" customWidth="1"/>
    <col min="6" max="6" width="4.28515625" style="6" customWidth="1"/>
    <col min="7" max="7" width="18.140625" style="6" bestFit="1" customWidth="1"/>
    <col min="8" max="8" width="22.28515625" style="6" bestFit="1" customWidth="1"/>
    <col min="9" max="11" width="9.140625" style="6" customWidth="1"/>
    <col min="12" max="16384" width="9.140625" style="6" hidden="1"/>
  </cols>
  <sheetData>
    <row r="1" spans="2:8" s="1" customFormat="1" ht="11.25" customHeight="1" x14ac:dyDescent="0.2"/>
    <row r="2" spans="2:8" s="1" customFormat="1" ht="18" x14ac:dyDescent="0.25">
      <c r="B2" s="10" t="s">
        <v>562</v>
      </c>
    </row>
    <row r="3" spans="2:8" s="1" customFormat="1" ht="11.25" customHeight="1" x14ac:dyDescent="0.2"/>
    <row r="4" spans="2:8" s="1" customFormat="1" ht="12.75" customHeight="1" x14ac:dyDescent="0.2">
      <c r="B4" s="1" t="s">
        <v>542</v>
      </c>
    </row>
    <row r="5" spans="2:8" s="11" customFormat="1" ht="11.25" customHeight="1" thickBot="1" x14ac:dyDescent="0.25"/>
    <row r="6" spans="2:8" ht="13.5" thickTop="1" x14ac:dyDescent="0.2"/>
    <row r="7" spans="2:8" x14ac:dyDescent="0.2">
      <c r="B7" s="12" t="s">
        <v>502</v>
      </c>
      <c r="G7" s="12" t="s">
        <v>813</v>
      </c>
    </row>
    <row r="8" spans="2:8" ht="40.5" customHeight="1" x14ac:dyDescent="0.2">
      <c r="B8" s="9" t="s">
        <v>503</v>
      </c>
      <c r="C8" s="9" t="s">
        <v>504</v>
      </c>
      <c r="D8" s="9" t="s">
        <v>505</v>
      </c>
      <c r="E8" s="9" t="s">
        <v>512</v>
      </c>
      <c r="G8" s="9" t="s">
        <v>44</v>
      </c>
      <c r="H8" s="9" t="s">
        <v>506</v>
      </c>
    </row>
    <row r="9" spans="2:8" x14ac:dyDescent="0.2">
      <c r="B9" s="13" t="s">
        <v>699</v>
      </c>
      <c r="C9" s="13" t="s">
        <v>389</v>
      </c>
      <c r="D9" s="13" t="s">
        <v>515</v>
      </c>
      <c r="E9" s="13" t="s">
        <v>518</v>
      </c>
      <c r="G9" s="8" t="s">
        <v>694</v>
      </c>
      <c r="H9" s="61" t="s">
        <v>29</v>
      </c>
    </row>
    <row r="10" spans="2:8" x14ac:dyDescent="0.2">
      <c r="B10" s="13" t="s">
        <v>699</v>
      </c>
      <c r="C10" s="13" t="s">
        <v>389</v>
      </c>
      <c r="D10" s="13" t="s">
        <v>516</v>
      </c>
      <c r="E10" s="13" t="s">
        <v>519</v>
      </c>
      <c r="G10" s="8" t="s">
        <v>507</v>
      </c>
      <c r="H10" s="61" t="s">
        <v>495</v>
      </c>
    </row>
    <row r="11" spans="2:8" x14ac:dyDescent="0.2">
      <c r="B11" s="13" t="s">
        <v>701</v>
      </c>
      <c r="C11" s="13" t="s">
        <v>389</v>
      </c>
      <c r="D11" s="13" t="s">
        <v>515</v>
      </c>
      <c r="E11" s="13" t="s">
        <v>518</v>
      </c>
      <c r="G11" s="8" t="s">
        <v>508</v>
      </c>
      <c r="H11" s="41">
        <v>1.1844799999999999E-3</v>
      </c>
    </row>
    <row r="12" spans="2:8" ht="25.5" x14ac:dyDescent="0.2">
      <c r="B12" s="13" t="s">
        <v>701</v>
      </c>
      <c r="C12" s="13" t="s">
        <v>389</v>
      </c>
      <c r="D12" s="13" t="s">
        <v>516</v>
      </c>
      <c r="E12" s="13" t="s">
        <v>519</v>
      </c>
      <c r="G12" s="8" t="s">
        <v>509</v>
      </c>
      <c r="H12" s="61" t="s">
        <v>511</v>
      </c>
    </row>
    <row r="13" spans="2:8" x14ac:dyDescent="0.2">
      <c r="B13" s="13" t="s">
        <v>23</v>
      </c>
      <c r="C13" s="13" t="s">
        <v>487</v>
      </c>
      <c r="D13" s="13" t="s">
        <v>511</v>
      </c>
      <c r="E13" s="13" t="s">
        <v>805</v>
      </c>
      <c r="G13" s="8" t="s">
        <v>513</v>
      </c>
      <c r="H13" s="7" t="s">
        <v>524</v>
      </c>
    </row>
    <row r="14" spans="2:8" x14ac:dyDescent="0.2">
      <c r="B14" s="13" t="s">
        <v>23</v>
      </c>
      <c r="C14" s="13" t="s">
        <v>488</v>
      </c>
      <c r="D14" s="13" t="s">
        <v>511</v>
      </c>
      <c r="E14" s="13" t="s">
        <v>806</v>
      </c>
      <c r="G14" s="8" t="s">
        <v>510</v>
      </c>
      <c r="H14" s="7" t="str">
        <f xml:space="preserve"> IF(AND(ParamBound_Val = 0,NOT(ISBLANK(ParamBound_Val))),"FAIL","PASS")</f>
        <v>PASS</v>
      </c>
    </row>
    <row r="15" spans="2:8" x14ac:dyDescent="0.2">
      <c r="B15" s="13" t="s">
        <v>23</v>
      </c>
      <c r="C15" s="13" t="s">
        <v>489</v>
      </c>
      <c r="D15" s="13" t="s">
        <v>511</v>
      </c>
      <c r="E15" s="13" t="s">
        <v>807</v>
      </c>
    </row>
    <row r="16" spans="2:8" x14ac:dyDescent="0.2">
      <c r="B16" s="13" t="s">
        <v>23</v>
      </c>
      <c r="C16" s="13" t="s">
        <v>490</v>
      </c>
      <c r="D16" s="13" t="s">
        <v>511</v>
      </c>
      <c r="E16" s="13" t="s">
        <v>808</v>
      </c>
    </row>
    <row r="17" spans="2:5" x14ac:dyDescent="0.2">
      <c r="B17" s="13" t="s">
        <v>23</v>
      </c>
      <c r="C17" s="13" t="s">
        <v>491</v>
      </c>
      <c r="D17" s="13" t="s">
        <v>511</v>
      </c>
      <c r="E17" s="13" t="s">
        <v>809</v>
      </c>
    </row>
    <row r="18" spans="2:5" x14ac:dyDescent="0.2">
      <c r="B18" s="13" t="s">
        <v>23</v>
      </c>
      <c r="C18" s="13" t="s">
        <v>492</v>
      </c>
      <c r="D18" s="13" t="s">
        <v>511</v>
      </c>
      <c r="E18" s="13" t="s">
        <v>810</v>
      </c>
    </row>
    <row r="19" spans="2:5" x14ac:dyDescent="0.2">
      <c r="B19" s="13" t="s">
        <v>23</v>
      </c>
      <c r="C19" s="13" t="s">
        <v>493</v>
      </c>
      <c r="D19" s="13" t="s">
        <v>511</v>
      </c>
      <c r="E19" s="13" t="s">
        <v>811</v>
      </c>
    </row>
    <row r="20" spans="2:5" x14ac:dyDescent="0.2">
      <c r="B20" s="13" t="s">
        <v>23</v>
      </c>
      <c r="C20" s="13" t="s">
        <v>494</v>
      </c>
      <c r="D20" s="13" t="s">
        <v>511</v>
      </c>
      <c r="E20" s="13" t="s">
        <v>812</v>
      </c>
    </row>
    <row r="21" spans="2:5" x14ac:dyDescent="0.2">
      <c r="B21" s="13" t="s">
        <v>21</v>
      </c>
      <c r="C21" s="13" t="s">
        <v>370</v>
      </c>
      <c r="D21" s="13" t="s">
        <v>515</v>
      </c>
      <c r="E21" s="13" t="s">
        <v>520</v>
      </c>
    </row>
    <row r="22" spans="2:5" x14ac:dyDescent="0.2">
      <c r="B22" s="13" t="s">
        <v>21</v>
      </c>
      <c r="C22" s="13" t="s">
        <v>370</v>
      </c>
      <c r="D22" s="13" t="s">
        <v>516</v>
      </c>
      <c r="E22" s="13" t="s">
        <v>521</v>
      </c>
    </row>
    <row r="23" spans="2:5" x14ac:dyDescent="0.2">
      <c r="B23" s="13" t="s">
        <v>21</v>
      </c>
      <c r="C23" s="13" t="s">
        <v>370</v>
      </c>
      <c r="D23" s="13" t="s">
        <v>517</v>
      </c>
      <c r="E23" s="13" t="s">
        <v>522</v>
      </c>
    </row>
    <row r="24" spans="2:5" x14ac:dyDescent="0.2">
      <c r="B24" s="13" t="s">
        <v>24</v>
      </c>
      <c r="C24" s="13" t="s">
        <v>24</v>
      </c>
      <c r="D24" s="13" t="s">
        <v>515</v>
      </c>
      <c r="E24" s="13" t="s">
        <v>523</v>
      </c>
    </row>
    <row r="25" spans="2:5" x14ac:dyDescent="0.2">
      <c r="B25" s="13" t="s">
        <v>24</v>
      </c>
      <c r="C25" s="13" t="s">
        <v>24</v>
      </c>
      <c r="D25" s="13" t="s">
        <v>516</v>
      </c>
      <c r="E25" s="13" t="s">
        <v>524</v>
      </c>
    </row>
    <row r="26" spans="2:5" x14ac:dyDescent="0.2">
      <c r="B26" s="13" t="s">
        <v>25</v>
      </c>
      <c r="C26" s="13" t="s">
        <v>24</v>
      </c>
      <c r="D26" s="13" t="s">
        <v>515</v>
      </c>
      <c r="E26" s="13" t="s">
        <v>523</v>
      </c>
    </row>
    <row r="27" spans="2:5" x14ac:dyDescent="0.2">
      <c r="B27" s="13" t="s">
        <v>25</v>
      </c>
      <c r="C27" s="13" t="s">
        <v>24</v>
      </c>
      <c r="D27" s="13" t="s">
        <v>516</v>
      </c>
      <c r="E27" s="13" t="s">
        <v>524</v>
      </c>
    </row>
    <row r="28" spans="2:5" x14ac:dyDescent="0.2">
      <c r="B28" s="13" t="s">
        <v>26</v>
      </c>
      <c r="C28" s="13" t="s">
        <v>24</v>
      </c>
      <c r="D28" s="13" t="s">
        <v>515</v>
      </c>
      <c r="E28" s="13" t="s">
        <v>523</v>
      </c>
    </row>
    <row r="29" spans="2:5" x14ac:dyDescent="0.2">
      <c r="B29" s="13" t="s">
        <v>26</v>
      </c>
      <c r="C29" s="13" t="s">
        <v>24</v>
      </c>
      <c r="D29" s="13" t="s">
        <v>516</v>
      </c>
      <c r="E29" s="13" t="s">
        <v>524</v>
      </c>
    </row>
    <row r="30" spans="2:5" x14ac:dyDescent="0.2">
      <c r="B30" s="13" t="s">
        <v>27</v>
      </c>
      <c r="C30" s="13" t="s">
        <v>341</v>
      </c>
      <c r="D30" s="13" t="s">
        <v>515</v>
      </c>
      <c r="E30" s="13" t="s">
        <v>525</v>
      </c>
    </row>
    <row r="31" spans="2:5" x14ac:dyDescent="0.2">
      <c r="B31" s="13" t="s">
        <v>27</v>
      </c>
      <c r="C31" s="13" t="s">
        <v>341</v>
      </c>
      <c r="D31" s="13" t="s">
        <v>516</v>
      </c>
      <c r="E31" s="13" t="s">
        <v>526</v>
      </c>
    </row>
    <row r="32" spans="2:5" x14ac:dyDescent="0.2">
      <c r="B32" s="13" t="s">
        <v>27</v>
      </c>
      <c r="C32" s="13" t="s">
        <v>24</v>
      </c>
      <c r="D32" s="13" t="s">
        <v>515</v>
      </c>
      <c r="E32" s="13" t="s">
        <v>523</v>
      </c>
    </row>
    <row r="33" spans="2:5" x14ac:dyDescent="0.2">
      <c r="B33" s="13" t="s">
        <v>27</v>
      </c>
      <c r="C33" s="13" t="s">
        <v>24</v>
      </c>
      <c r="D33" s="13" t="s">
        <v>516</v>
      </c>
      <c r="E33" s="13" t="s">
        <v>524</v>
      </c>
    </row>
    <row r="34" spans="2:5" x14ac:dyDescent="0.2">
      <c r="B34" s="13" t="s">
        <v>28</v>
      </c>
      <c r="C34" s="13" t="s">
        <v>341</v>
      </c>
      <c r="D34" s="13" t="s">
        <v>515</v>
      </c>
      <c r="E34" s="13" t="s">
        <v>525</v>
      </c>
    </row>
    <row r="35" spans="2:5" x14ac:dyDescent="0.2">
      <c r="B35" s="13" t="s">
        <v>28</v>
      </c>
      <c r="C35" s="13" t="s">
        <v>341</v>
      </c>
      <c r="D35" s="13" t="s">
        <v>516</v>
      </c>
      <c r="E35" s="13" t="s">
        <v>526</v>
      </c>
    </row>
    <row r="36" spans="2:5" x14ac:dyDescent="0.2">
      <c r="B36" s="13" t="s">
        <v>29</v>
      </c>
      <c r="C36" s="13" t="s">
        <v>495</v>
      </c>
      <c r="D36" s="13" t="s">
        <v>511</v>
      </c>
      <c r="E36" s="13" t="s">
        <v>805</v>
      </c>
    </row>
    <row r="37" spans="2:5" x14ac:dyDescent="0.2">
      <c r="B37" s="13" t="s">
        <v>29</v>
      </c>
      <c r="C37" s="13" t="s">
        <v>496</v>
      </c>
      <c r="D37" s="13" t="s">
        <v>511</v>
      </c>
      <c r="E37" s="13" t="s">
        <v>806</v>
      </c>
    </row>
    <row r="38" spans="2:5" x14ac:dyDescent="0.2">
      <c r="B38" s="13" t="s">
        <v>29</v>
      </c>
      <c r="C38" s="13" t="s">
        <v>497</v>
      </c>
      <c r="D38" s="13" t="s">
        <v>511</v>
      </c>
      <c r="E38" s="13" t="s">
        <v>807</v>
      </c>
    </row>
    <row r="39" spans="2:5" x14ac:dyDescent="0.2">
      <c r="B39" s="13" t="s">
        <v>29</v>
      </c>
      <c r="C39" s="13" t="s">
        <v>498</v>
      </c>
      <c r="D39" s="13" t="s">
        <v>511</v>
      </c>
      <c r="E39" s="13" t="s">
        <v>808</v>
      </c>
    </row>
    <row r="40" spans="2:5" x14ac:dyDescent="0.2">
      <c r="B40" s="13" t="s">
        <v>29</v>
      </c>
      <c r="C40" s="13" t="s">
        <v>499</v>
      </c>
      <c r="D40" s="13" t="s">
        <v>511</v>
      </c>
      <c r="E40" s="13" t="s">
        <v>809</v>
      </c>
    </row>
    <row r="41" spans="2:5" x14ac:dyDescent="0.2">
      <c r="B41" s="13" t="s">
        <v>29</v>
      </c>
      <c r="C41" s="13" t="s">
        <v>691</v>
      </c>
      <c r="D41" s="13" t="s">
        <v>511</v>
      </c>
      <c r="E41" s="13" t="s">
        <v>810</v>
      </c>
    </row>
    <row r="42" spans="2:5" x14ac:dyDescent="0.2">
      <c r="B42" s="13" t="s">
        <v>29</v>
      </c>
      <c r="C42" s="13" t="s">
        <v>692</v>
      </c>
      <c r="D42" s="13" t="s">
        <v>511</v>
      </c>
      <c r="E42" s="13" t="s">
        <v>811</v>
      </c>
    </row>
    <row r="43" spans="2:5" x14ac:dyDescent="0.2">
      <c r="B43" s="13" t="s">
        <v>29</v>
      </c>
      <c r="C43" s="13" t="s">
        <v>693</v>
      </c>
      <c r="D43" s="13" t="s">
        <v>511</v>
      </c>
      <c r="E43" s="13" t="s">
        <v>812</v>
      </c>
    </row>
    <row r="44" spans="2:5" x14ac:dyDescent="0.2">
      <c r="B44" s="13" t="s">
        <v>30</v>
      </c>
      <c r="C44" s="13" t="s">
        <v>24</v>
      </c>
      <c r="D44" s="13" t="s">
        <v>515</v>
      </c>
      <c r="E44" s="13" t="s">
        <v>523</v>
      </c>
    </row>
    <row r="45" spans="2:5" x14ac:dyDescent="0.2">
      <c r="B45" s="13" t="s">
        <v>30</v>
      </c>
      <c r="C45" s="13" t="s">
        <v>24</v>
      </c>
      <c r="D45" s="13" t="s">
        <v>516</v>
      </c>
      <c r="E45" s="13" t="s">
        <v>524</v>
      </c>
    </row>
    <row r="46" spans="2:5" x14ac:dyDescent="0.2">
      <c r="B46" s="13" t="s">
        <v>31</v>
      </c>
      <c r="C46" s="13" t="s">
        <v>24</v>
      </c>
      <c r="D46" s="13" t="s">
        <v>515</v>
      </c>
      <c r="E46" s="13" t="s">
        <v>523</v>
      </c>
    </row>
    <row r="47" spans="2:5" x14ac:dyDescent="0.2">
      <c r="B47" s="13" t="s">
        <v>31</v>
      </c>
      <c r="C47" s="13" t="s">
        <v>24</v>
      </c>
      <c r="D47" s="13" t="s">
        <v>516</v>
      </c>
      <c r="E47" s="13" t="s">
        <v>524</v>
      </c>
    </row>
    <row r="48" spans="2:5" x14ac:dyDescent="0.2">
      <c r="B48" s="13" t="s">
        <v>406</v>
      </c>
      <c r="C48" s="13" t="s">
        <v>495</v>
      </c>
      <c r="D48" s="13" t="s">
        <v>511</v>
      </c>
      <c r="E48" s="13" t="s">
        <v>805</v>
      </c>
    </row>
    <row r="49" spans="2:5" x14ac:dyDescent="0.2">
      <c r="B49" s="13" t="s">
        <v>406</v>
      </c>
      <c r="C49" s="13" t="s">
        <v>496</v>
      </c>
      <c r="D49" s="13" t="s">
        <v>511</v>
      </c>
      <c r="E49" s="13" t="s">
        <v>806</v>
      </c>
    </row>
    <row r="50" spans="2:5" x14ac:dyDescent="0.2">
      <c r="B50" s="13" t="s">
        <v>406</v>
      </c>
      <c r="C50" s="13" t="s">
        <v>497</v>
      </c>
      <c r="D50" s="13" t="s">
        <v>511</v>
      </c>
      <c r="E50" s="13" t="s">
        <v>807</v>
      </c>
    </row>
    <row r="51" spans="2:5" x14ac:dyDescent="0.2">
      <c r="B51" s="13" t="s">
        <v>406</v>
      </c>
      <c r="C51" s="13" t="s">
        <v>498</v>
      </c>
      <c r="D51" s="13" t="s">
        <v>511</v>
      </c>
      <c r="E51" s="13" t="s">
        <v>808</v>
      </c>
    </row>
    <row r="52" spans="2:5" x14ac:dyDescent="0.2">
      <c r="B52" s="13" t="s">
        <v>406</v>
      </c>
      <c r="C52" s="13" t="s">
        <v>499</v>
      </c>
      <c r="D52" s="13" t="s">
        <v>511</v>
      </c>
      <c r="E52" s="13" t="s">
        <v>809</v>
      </c>
    </row>
    <row r="53" spans="2:5" x14ac:dyDescent="0.2">
      <c r="B53" s="13" t="s">
        <v>406</v>
      </c>
      <c r="C53" s="13" t="s">
        <v>691</v>
      </c>
      <c r="D53" s="13" t="s">
        <v>511</v>
      </c>
      <c r="E53" s="13" t="s">
        <v>810</v>
      </c>
    </row>
    <row r="54" spans="2:5" x14ac:dyDescent="0.2">
      <c r="B54" s="13" t="s">
        <v>406</v>
      </c>
      <c r="C54" s="13" t="s">
        <v>692</v>
      </c>
      <c r="D54" s="13" t="s">
        <v>511</v>
      </c>
      <c r="E54" s="13" t="s">
        <v>811</v>
      </c>
    </row>
    <row r="55" spans="2:5" x14ac:dyDescent="0.2">
      <c r="B55" s="13" t="s">
        <v>406</v>
      </c>
      <c r="C55" s="13" t="s">
        <v>693</v>
      </c>
      <c r="D55" s="13" t="s">
        <v>511</v>
      </c>
      <c r="E55" s="13" t="s">
        <v>812</v>
      </c>
    </row>
    <row r="56" spans="2:5" x14ac:dyDescent="0.2"/>
    <row r="57" spans="2:5" x14ac:dyDescent="0.2"/>
    <row r="58" spans="2:5" x14ac:dyDescent="0.2"/>
    <row r="59" spans="2:5" x14ac:dyDescent="0.2"/>
    <row r="60" spans="2:5" x14ac:dyDescent="0.2"/>
    <row r="61" spans="2:5" x14ac:dyDescent="0.2"/>
    <row r="62" spans="2:5" x14ac:dyDescent="0.2"/>
    <row r="63" spans="2:5" x14ac:dyDescent="0.2"/>
    <row r="64" spans="2:5" x14ac:dyDescent="0.2"/>
    <row r="65" x14ac:dyDescent="0.2"/>
    <row r="66" x14ac:dyDescent="0.2"/>
    <row r="67" x14ac:dyDescent="0.2"/>
    <row r="68" x14ac:dyDescent="0.2"/>
    <row r="69" x14ac:dyDescent="0.2"/>
    <row r="70" x14ac:dyDescent="0.2"/>
  </sheetData>
  <autoFilter ref="B8:D52"/>
  <phoneticPr fontId="2" type="noConversion"/>
  <pageMargins left="0.75" right="0.75" top="1" bottom="1" header="0.5" footer="0.5"/>
  <pageSetup orientation="portrait" r:id="rId1"/>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tabColor indexed="44"/>
  </sheetPr>
  <dimension ref="B1:F232"/>
  <sheetViews>
    <sheetView workbookViewId="0">
      <pane ySplit="5" topLeftCell="A6" activePane="bottomLeft" state="frozen"/>
      <selection pane="bottomLeft" activeCell="F7" sqref="F7"/>
    </sheetView>
  </sheetViews>
  <sheetFormatPr defaultColWidth="9.140625" defaultRowHeight="12.75" customHeight="1" x14ac:dyDescent="0.2"/>
  <cols>
    <col min="1" max="1" width="4.28515625" style="6" customWidth="1"/>
    <col min="2" max="2" width="52.28515625" style="6" customWidth="1"/>
    <col min="3" max="4" width="26.5703125" style="6" customWidth="1"/>
    <col min="5" max="10" width="9.140625" style="6" customWidth="1"/>
    <col min="11" max="16384" width="9.140625" style="6"/>
  </cols>
  <sheetData>
    <row r="1" spans="2:6" s="1" customFormat="1" ht="11.25" customHeight="1" x14ac:dyDescent="0.2"/>
    <row r="2" spans="2:6" s="1" customFormat="1" ht="18" x14ac:dyDescent="0.25">
      <c r="B2" s="10" t="s">
        <v>562</v>
      </c>
    </row>
    <row r="3" spans="2:6" s="1" customFormat="1" ht="11.25" customHeight="1" x14ac:dyDescent="0.2"/>
    <row r="4" spans="2:6" s="1" customFormat="1" ht="12.75" customHeight="1" x14ac:dyDescent="0.2">
      <c r="B4" s="1" t="s">
        <v>752</v>
      </c>
      <c r="D4" s="124" t="s">
        <v>850</v>
      </c>
      <c r="E4" s="124"/>
    </row>
    <row r="5" spans="2:6" s="11" customFormat="1" ht="11.25" customHeight="1" thickBot="1" x14ac:dyDescent="0.25"/>
    <row r="6" spans="2:6" ht="12.75" customHeight="1" thickTop="1" x14ac:dyDescent="0.2"/>
    <row r="7" spans="2:6" ht="24" customHeight="1" x14ac:dyDescent="0.2">
      <c r="B7" s="9" t="s">
        <v>764</v>
      </c>
      <c r="C7" s="9" t="s">
        <v>814</v>
      </c>
      <c r="D7" s="9" t="s">
        <v>765</v>
      </c>
      <c r="F7" s="6" t="s">
        <v>894</v>
      </c>
    </row>
    <row r="8" spans="2:6" ht="12.75" customHeight="1" x14ac:dyDescent="0.2">
      <c r="B8" s="6" t="s">
        <v>879</v>
      </c>
      <c r="C8" s="40" t="s">
        <v>927</v>
      </c>
      <c r="D8" s="6" t="s">
        <v>895</v>
      </c>
    </row>
    <row r="9" spans="2:6" ht="12.75" customHeight="1" x14ac:dyDescent="0.2">
      <c r="B9" s="6" t="s">
        <v>882</v>
      </c>
      <c r="C9" s="40" t="s">
        <v>928</v>
      </c>
      <c r="D9" s="6" t="s">
        <v>897</v>
      </c>
    </row>
    <row r="10" spans="2:6" ht="12.75" customHeight="1" x14ac:dyDescent="0.2">
      <c r="B10" s="6" t="s">
        <v>883</v>
      </c>
      <c r="C10" s="40" t="s">
        <v>929</v>
      </c>
      <c r="D10" s="6" t="s">
        <v>899</v>
      </c>
    </row>
    <row r="11" spans="2:6" ht="12.75" customHeight="1" x14ac:dyDescent="0.2">
      <c r="B11" s="6" t="s">
        <v>884</v>
      </c>
      <c r="C11" s="40" t="s">
        <v>930</v>
      </c>
      <c r="D11" s="6" t="s">
        <v>901</v>
      </c>
    </row>
    <row r="12" spans="2:6" ht="12.75" customHeight="1" x14ac:dyDescent="0.2">
      <c r="B12" s="6" t="s">
        <v>885</v>
      </c>
      <c r="C12" s="40" t="s">
        <v>931</v>
      </c>
      <c r="D12" s="6" t="s">
        <v>903</v>
      </c>
    </row>
    <row r="13" spans="2:6" ht="12.75" customHeight="1" x14ac:dyDescent="0.2">
      <c r="B13" s="6" t="s">
        <v>886</v>
      </c>
      <c r="C13" s="40" t="s">
        <v>932</v>
      </c>
      <c r="D13" s="6" t="s">
        <v>905</v>
      </c>
    </row>
    <row r="14" spans="2:6" ht="12.75" customHeight="1" x14ac:dyDescent="0.2">
      <c r="B14" s="6" t="s">
        <v>887</v>
      </c>
      <c r="C14" s="40" t="s">
        <v>933</v>
      </c>
      <c r="D14" s="6" t="s">
        <v>907</v>
      </c>
    </row>
    <row r="15" spans="2:6" ht="12.75" customHeight="1" x14ac:dyDescent="0.2">
      <c r="B15" s="6" t="s">
        <v>888</v>
      </c>
      <c r="C15" s="40" t="s">
        <v>934</v>
      </c>
      <c r="D15" s="6" t="s">
        <v>908</v>
      </c>
    </row>
    <row r="16" spans="2:6" ht="12.75" customHeight="1" x14ac:dyDescent="0.2">
      <c r="B16" s="6" t="s">
        <v>890</v>
      </c>
      <c r="C16" s="40" t="s">
        <v>935</v>
      </c>
      <c r="D16" s="6" t="s">
        <v>910</v>
      </c>
    </row>
    <row r="17" spans="2:6" ht="12.75" customHeight="1" x14ac:dyDescent="0.2">
      <c r="B17" s="6" t="s">
        <v>892</v>
      </c>
      <c r="C17" s="40" t="s">
        <v>936</v>
      </c>
      <c r="D17" s="6" t="s">
        <v>912</v>
      </c>
    </row>
    <row r="18" spans="2:6" ht="12.75" customHeight="1" x14ac:dyDescent="0.2">
      <c r="C18" s="40"/>
    </row>
    <row r="19" spans="2:6" ht="12.75" customHeight="1" x14ac:dyDescent="0.2">
      <c r="C19" s="40"/>
    </row>
    <row r="20" spans="2:6" ht="12.75" customHeight="1" x14ac:dyDescent="0.2">
      <c r="C20" s="40"/>
    </row>
    <row r="21" spans="2:6" ht="12.75" customHeight="1" x14ac:dyDescent="0.2">
      <c r="C21" s="40"/>
    </row>
    <row r="22" spans="2:6" ht="12.75" customHeight="1" x14ac:dyDescent="0.2">
      <c r="C22" s="40"/>
    </row>
    <row r="23" spans="2:6" ht="12.75" customHeight="1" x14ac:dyDescent="0.2">
      <c r="C23" s="40"/>
    </row>
    <row r="24" spans="2:6" ht="12.75" customHeight="1" x14ac:dyDescent="0.2">
      <c r="C24" s="40"/>
    </row>
    <row r="25" spans="2:6" ht="12.75" customHeight="1" x14ac:dyDescent="0.2">
      <c r="C25" s="40"/>
    </row>
    <row r="26" spans="2:6" ht="12.75" customHeight="1" x14ac:dyDescent="0.2">
      <c r="C26" s="40"/>
    </row>
    <row r="27" spans="2:6" ht="12.75" customHeight="1" x14ac:dyDescent="0.2">
      <c r="C27" s="40"/>
    </row>
    <row r="28" spans="2:6" ht="12.75" customHeight="1" x14ac:dyDescent="0.2">
      <c r="C28" s="40"/>
    </row>
    <row r="29" spans="2:6" ht="12.75" customHeight="1" x14ac:dyDescent="0.2">
      <c r="C29" s="40"/>
    </row>
    <row r="30" spans="2:6" ht="12.75" customHeight="1" x14ac:dyDescent="0.2">
      <c r="C30" s="40"/>
    </row>
    <row r="31" spans="2:6" ht="12.75" customHeight="1" x14ac:dyDescent="0.2">
      <c r="C31" s="40"/>
    </row>
    <row r="32" spans="2:6" ht="12.75" customHeight="1" x14ac:dyDescent="0.2">
      <c r="C32" s="40"/>
      <c r="F32" s="6" t="s">
        <v>896</v>
      </c>
    </row>
    <row r="33" spans="3:3" ht="12.75" customHeight="1" x14ac:dyDescent="0.2">
      <c r="C33" s="40"/>
    </row>
    <row r="34" spans="3:3" ht="12.75" customHeight="1" x14ac:dyDescent="0.2">
      <c r="C34" s="40"/>
    </row>
    <row r="35" spans="3:3" ht="12.75" customHeight="1" x14ac:dyDescent="0.2">
      <c r="C35" s="40"/>
    </row>
    <row r="36" spans="3:3" ht="12.75" customHeight="1" x14ac:dyDescent="0.2">
      <c r="C36" s="40"/>
    </row>
    <row r="37" spans="3:3" ht="12.75" customHeight="1" x14ac:dyDescent="0.2">
      <c r="C37" s="40"/>
    </row>
    <row r="38" spans="3:3" ht="12.75" customHeight="1" x14ac:dyDescent="0.2">
      <c r="C38" s="40"/>
    </row>
    <row r="39" spans="3:3" ht="12.75" customHeight="1" x14ac:dyDescent="0.2">
      <c r="C39" s="40"/>
    </row>
    <row r="57" spans="6:6" ht="12.75" customHeight="1" x14ac:dyDescent="0.2">
      <c r="F57" s="6" t="s">
        <v>898</v>
      </c>
    </row>
    <row r="82" spans="6:6" ht="12.75" customHeight="1" x14ac:dyDescent="0.2">
      <c r="F82" s="6" t="s">
        <v>900</v>
      </c>
    </row>
    <row r="107" spans="6:6" ht="12.75" customHeight="1" x14ac:dyDescent="0.2">
      <c r="F107" s="6" t="s">
        <v>902</v>
      </c>
    </row>
    <row r="132" spans="6:6" ht="12.75" customHeight="1" x14ac:dyDescent="0.2">
      <c r="F132" s="6" t="s">
        <v>904</v>
      </c>
    </row>
    <row r="157" spans="6:6" ht="12.75" customHeight="1" x14ac:dyDescent="0.2">
      <c r="F157" s="6" t="s">
        <v>906</v>
      </c>
    </row>
    <row r="182" spans="6:6" ht="12.75" customHeight="1" x14ac:dyDescent="0.2">
      <c r="F182" s="6" t="s">
        <v>909</v>
      </c>
    </row>
    <row r="207" spans="6:6" ht="12.75" customHeight="1" x14ac:dyDescent="0.2">
      <c r="F207" s="6" t="s">
        <v>911</v>
      </c>
    </row>
    <row r="232" spans="6:6" ht="12.75" customHeight="1" x14ac:dyDescent="0.2">
      <c r="F232" s="6" t="s">
        <v>913</v>
      </c>
    </row>
  </sheetData>
  <mergeCells count="1">
    <mergeCell ref="D4:E4"/>
  </mergeCells>
  <hyperlinks>
    <hyperlink ref="D4" location="Results!A1" display="Back to Results"/>
  </hyperlinks>
  <pageMargins left="0.75" right="0.75" top="1" bottom="1" header="0.5" footer="0.5"/>
  <pageSetup orientation="portrait" r:id="rId1"/>
  <headerFooter alignWithMargins="0"/>
  <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667E6ACCE231C0428E62DAAE0CC4651C" ma:contentTypeVersion="0" ma:contentTypeDescription="Create a new document." ma:contentTypeScope="" ma:versionID="81ca7defd195b657ec09381fac188f31">
  <xsd:schema xmlns:xsd="http://www.w3.org/2001/XMLSchema" xmlns:p="http://schemas.microsoft.com/office/2006/metadata/properties" targetNamespace="http://schemas.microsoft.com/office/2006/metadata/properties" ma:root="true" ma:fieldsID="4aeb20c0e3442673af7ee10786458764">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office/internal/2005/internalDocumentation"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ma:readOnly="tru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lastPrinted" minOccurs="0" maxOccurs="1" type="xsd:dateTime"/>
        <xsd:element name="contentStatus" minOccurs="0" maxOccurs="1" type="xsd:string"/>
      </xsd:all>
    </xsd:complexType>
  </xsd:schema>
</ct:contentTypeSchema>
</file>

<file path=customXml/itemProps1.xml><?xml version="1.0" encoding="utf-8"?>
<ds:datastoreItem xmlns:ds="http://schemas.openxmlformats.org/officeDocument/2006/customXml" ds:itemID="{639D03B3-ECE9-4ABA-AA6B-6B7CFDDEC7BD}">
  <ds:schemaRefs>
    <ds:schemaRef ds:uri="http://schemas.microsoft.com/sharepoint/v3/contenttype/forms"/>
  </ds:schemaRefs>
</ds:datastoreItem>
</file>

<file path=customXml/itemProps2.xml><?xml version="1.0" encoding="utf-8"?>
<ds:datastoreItem xmlns:ds="http://schemas.openxmlformats.org/officeDocument/2006/customXml" ds:itemID="{3DDFC324-03C5-44FB-87D6-B517E5D936CE}">
  <ds:schemaRefs>
    <ds:schemaRef ds:uri="http://purl.org/dc/elements/1.1/"/>
    <ds:schemaRef ds:uri="http://purl.org/dc/dcmitype/"/>
    <ds:schemaRef ds:uri="http://purl.org/dc/terms/"/>
    <ds:schemaRef ds:uri="http://www.w3.org/XML/1998/namespace"/>
    <ds:schemaRef ds:uri="http://schemas.microsoft.com/office/2006/metadata/properties"/>
    <ds:schemaRef ds:uri="http://schemas.openxmlformats.org/package/2006/metadata/core-properties"/>
    <ds:schemaRef ds:uri="http://schemas.microsoft.com/office/2006/documentManagement/types"/>
  </ds:schemaRefs>
</ds:datastoreItem>
</file>

<file path=customXml/itemProps3.xml><?xml version="1.0" encoding="utf-8"?>
<ds:datastoreItem xmlns:ds="http://schemas.openxmlformats.org/officeDocument/2006/customXml" ds:itemID="{DE124320-4F5E-408B-857C-598430C2E33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office/internal/2005/internalDocumentation"/>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110</vt:i4>
      </vt:variant>
    </vt:vector>
  </HeadingPairs>
  <TitlesOfParts>
    <vt:vector size="120" baseType="lpstr">
      <vt:lpstr>Main</vt:lpstr>
      <vt:lpstr>Data</vt:lpstr>
      <vt:lpstr>Results</vt:lpstr>
      <vt:lpstr>Logic</vt:lpstr>
      <vt:lpstr>Report</vt:lpstr>
      <vt:lpstr>Options</vt:lpstr>
      <vt:lpstr>Model Options</vt:lpstr>
      <vt:lpstr>BuildModel</vt:lpstr>
      <vt:lpstr>Define Bounds</vt:lpstr>
      <vt:lpstr>Output</vt:lpstr>
      <vt:lpstr>AutoBMDSEXE</vt:lpstr>
      <vt:lpstr>Autorun_InputFile</vt:lpstr>
      <vt:lpstr>AutorunBMDSTimeout</vt:lpstr>
      <vt:lpstr>BMD_ID</vt:lpstr>
      <vt:lpstr>BMDorBMC</vt:lpstr>
      <vt:lpstr>BMDS_EMF_Scale</vt:lpstr>
      <vt:lpstr>BMDS_MaxChar</vt:lpstr>
      <vt:lpstr>BMDS_SpacesAllowed</vt:lpstr>
      <vt:lpstr>BMDSdir</vt:lpstr>
      <vt:lpstr>BMDSexe</vt:lpstr>
      <vt:lpstr>BMDSversion</vt:lpstr>
      <vt:lpstr>BMDSwindow</vt:lpstr>
      <vt:lpstr>BMDSWordSpace</vt:lpstr>
      <vt:lpstr>CTV_db</vt:lpstr>
      <vt:lpstr>CurrentColumn</vt:lpstr>
      <vt:lpstr>Data_ColumnNames</vt:lpstr>
      <vt:lpstr>Data_DataType</vt:lpstr>
      <vt:lpstr>Data_DoseRange</vt:lpstr>
      <vt:lpstr>Data_DoseUnits</vt:lpstr>
      <vt:lpstr>Data_DRTrend</vt:lpstr>
      <vt:lpstr>Data_NumDG</vt:lpstr>
      <vt:lpstr>Data_ResponseColumn</vt:lpstr>
      <vt:lpstr>Data_ResponseDec</vt:lpstr>
      <vt:lpstr>Data_ResponseInc</vt:lpstr>
      <vt:lpstr>Debug</vt:lpstr>
      <vt:lpstr>DR_id</vt:lpstr>
      <vt:lpstr>EmbedBMDSOutput</vt:lpstr>
      <vt:lpstr>Endpoint</vt:lpstr>
      <vt:lpstr>ExpSearchString</vt:lpstr>
      <vt:lpstr>FullModelOptionList_ColNames</vt:lpstr>
      <vt:lpstr>Logic_BMDLSufficientlyClose</vt:lpstr>
      <vt:lpstr>Logic_RecommendQuestionable</vt:lpstr>
      <vt:lpstr>Logic_RecommendViable</vt:lpstr>
      <vt:lpstr>ModelOptionFile_ColList</vt:lpstr>
      <vt:lpstr>ModelType</vt:lpstr>
      <vt:lpstr>Opt_FormulaBar_Change</vt:lpstr>
      <vt:lpstr>Opt_FormulaBar_Height</vt:lpstr>
      <vt:lpstr>ParamBound_FailNotes</vt:lpstr>
      <vt:lpstr>ParamBound_Model</vt:lpstr>
      <vt:lpstr>ParamBound_PassFail</vt:lpstr>
      <vt:lpstr>ParamBound_Rest</vt:lpstr>
      <vt:lpstr>ParamBound_Val</vt:lpstr>
      <vt:lpstr>ParamBound_Var</vt:lpstr>
      <vt:lpstr>PrintWRD_DRAGON</vt:lpstr>
      <vt:lpstr>PrintWRD_DRAGON_FN</vt:lpstr>
      <vt:lpstr>PrintWRD_FigH</vt:lpstr>
      <vt:lpstr>PrintWRD_FigW</vt:lpstr>
      <vt:lpstr>PrintWrd_ModelSelectionNotes</vt:lpstr>
      <vt:lpstr>PrintWRD_OutDir</vt:lpstr>
      <vt:lpstr>PrintWRD_OutExt</vt:lpstr>
      <vt:lpstr>PrintWRD_OutFN</vt:lpstr>
      <vt:lpstr>PrintWRD_PrintAllFigs</vt:lpstr>
      <vt:lpstr>PrintWRD_PrintAllOUT</vt:lpstr>
      <vt:lpstr>PrintWRD_PrintSelectedFigs</vt:lpstr>
      <vt:lpstr>PrintWRD_PrintSelectedOUT</vt:lpstr>
      <vt:lpstr>PrintWRD_PrintSummaryTable</vt:lpstr>
      <vt:lpstr>PrintWRD_ShowReportBeingCreated</vt:lpstr>
      <vt:lpstr>PrintWRD_TemplateDir</vt:lpstr>
      <vt:lpstr>PrintWRD_TemplateFN</vt:lpstr>
      <vt:lpstr>PullDown_ListRange</vt:lpstr>
      <vt:lpstr>PullDown_ModelName</vt:lpstr>
      <vt:lpstr>PullDown_ModelNum</vt:lpstr>
      <vt:lpstr>R_ModelOptionHeader</vt:lpstr>
      <vt:lpstr>R_Results_Header</vt:lpstr>
      <vt:lpstr>RenameExpFiles</vt:lpstr>
      <vt:lpstr>Results_SmartHide</vt:lpstr>
      <vt:lpstr>Results_SmartHideVarModel</vt:lpstr>
      <vt:lpstr>SessionFileDir</vt:lpstr>
      <vt:lpstr>ShowSplashScreen</vt:lpstr>
      <vt:lpstr>SmartStudyEndpointName</vt:lpstr>
      <vt:lpstr>StudyYear</vt:lpstr>
      <vt:lpstr>Summary_BMRName</vt:lpstr>
      <vt:lpstr>Summary_BMRShorthand</vt:lpstr>
      <vt:lpstr>Summary_SortBMDL</vt:lpstr>
      <vt:lpstr>Summary_ThisBMR</vt:lpstr>
      <vt:lpstr>Summary_ThisBMRF</vt:lpstr>
      <vt:lpstr>Tbl_BMDSversion</vt:lpstr>
      <vt:lpstr>Tbl_BMRFN</vt:lpstr>
      <vt:lpstr>Tbl_DataInputNames</vt:lpstr>
      <vt:lpstr>Tbl_Doses</vt:lpstr>
      <vt:lpstr>Tbl_FullModelOptionList</vt:lpstr>
      <vt:lpstr>Tbl_ModelForm</vt:lpstr>
      <vt:lpstr>Tbl_ModelOptionFiles</vt:lpstr>
      <vt:lpstr>Tbl_Output</vt:lpstr>
      <vt:lpstr>Tbl_ParameterBounds</vt:lpstr>
      <vt:lpstr>Tbl_Results</vt:lpstr>
      <vt:lpstr>Tbl_Results_Name</vt:lpstr>
      <vt:lpstr>Tbl_VisibleOrHidden</vt:lpstr>
      <vt:lpstr>TblMoveSelectedToTop</vt:lpstr>
      <vt:lpstr>UserNotes</vt:lpstr>
      <vt:lpstr>Valid_AdvDir</vt:lpstr>
      <vt:lpstr>Valid_AutoBMDSEXE</vt:lpstr>
      <vt:lpstr>Valid_BinType</vt:lpstr>
      <vt:lpstr>Valid_BMDSversion</vt:lpstr>
      <vt:lpstr>Valid_BMRtype</vt:lpstr>
      <vt:lpstr>Valid_Boolean</vt:lpstr>
      <vt:lpstr>Valid_DataCol</vt:lpstr>
      <vt:lpstr>Valid_Distribution</vt:lpstr>
      <vt:lpstr>Valid_FixedLitterSize</vt:lpstr>
      <vt:lpstr>Valid_IntralitterCorrel</vt:lpstr>
      <vt:lpstr>Valid_LitterSpecCovar</vt:lpstr>
      <vt:lpstr>Valid_ModelSelection</vt:lpstr>
      <vt:lpstr>Valid_ModelType</vt:lpstr>
      <vt:lpstr>Valid_Restriction</vt:lpstr>
      <vt:lpstr>Valid_RiskType</vt:lpstr>
      <vt:lpstr>Valid_TestOn</vt:lpstr>
      <vt:lpstr>Valid_TextBasis</vt:lpstr>
      <vt:lpstr>Valid_UserOverrides</vt:lpstr>
      <vt:lpstr>Valid_VisibleHidden</vt:lpstr>
      <vt:lpstr>Valid_WrdExt</vt:lpstr>
    </vt:vector>
  </TitlesOfParts>
  <Company>ICF Consulting</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Andy Shapiro</dc:creator>
  <cp:lastModifiedBy>Andy Shapiro</cp:lastModifiedBy>
  <dcterms:created xsi:type="dcterms:W3CDTF">2009-06-15T20:34:50Z</dcterms:created>
  <dcterms:modified xsi:type="dcterms:W3CDTF">2013-01-25T05:35:50Z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0x010100667E6ACCE231C0428E62DAAE0CC4651C</vt:lpwstr>
  </property>
</Properties>
</file>